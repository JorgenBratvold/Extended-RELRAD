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jorgenbratvold/Library/CloudStorage/OneDrive-NTNU/RELRAD-software_final/NEW_CODE/new_systems/"/>
    </mc:Choice>
  </mc:AlternateContent>
  <xr:revisionPtr revIDLastSave="0" documentId="13_ncr:1_{8DA39C49-AB80-5E4B-8504-2FB649B39C18}" xr6:coauthVersionLast="47" xr6:coauthVersionMax="47" xr10:uidLastSave="{00000000-0000-0000-0000-000000000000}"/>
  <bookViews>
    <workbookView xWindow="3280" yWindow="680" windowWidth="25280" windowHeight="16920" activeTab="3" xr2:uid="{00000000-000D-0000-FFFF-FFFF00000000}"/>
  </bookViews>
  <sheets>
    <sheet name="Bus Data" sheetId="1" r:id="rId1"/>
    <sheet name="Line Data" sheetId="2" r:id="rId2"/>
    <sheet name="Buses" sheetId="10" r:id="rId3"/>
    <sheet name="Lines" sheetId="11" r:id="rId4"/>
    <sheet name="Load Point Data" sheetId="3" r:id="rId5"/>
    <sheet name="Generation Data" sheetId="4" r:id="rId6"/>
    <sheet name="Backup Feeders" sheetId="5" r:id="rId7"/>
    <sheet name="Component Data" sheetId="6" r:id="rId8"/>
    <sheet name="Positions" sheetId="12" r:id="rId9"/>
    <sheet name="Weekly Load Factor" sheetId="7" r:id="rId10"/>
    <sheet name="Daily Load Factor" sheetId="8" r:id="rId11"/>
    <sheet name="Hourly Load Factor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1" l="1"/>
  <c r="G2" i="11"/>
  <c r="H2" i="11"/>
  <c r="F3" i="11"/>
  <c r="G3" i="11"/>
  <c r="H3" i="11"/>
  <c r="F4" i="11"/>
  <c r="G4" i="11"/>
  <c r="H4" i="11"/>
  <c r="F5" i="11"/>
  <c r="G5" i="11"/>
  <c r="H5" i="11"/>
  <c r="F6" i="11"/>
  <c r="G6" i="11"/>
  <c r="H6" i="11"/>
  <c r="F7" i="11"/>
  <c r="G7" i="11"/>
  <c r="H7" i="11"/>
  <c r="F8" i="11"/>
  <c r="G8" i="11"/>
  <c r="H8" i="11"/>
  <c r="F9" i="11"/>
  <c r="G9" i="11"/>
  <c r="H9" i="11"/>
  <c r="F10" i="11"/>
  <c r="G10" i="11"/>
  <c r="H10" i="11"/>
  <c r="F11" i="11"/>
  <c r="G11" i="11"/>
  <c r="H11" i="11"/>
  <c r="F12" i="11"/>
  <c r="G12" i="11"/>
  <c r="H12" i="11"/>
  <c r="F13" i="11"/>
  <c r="G13" i="11"/>
  <c r="H13" i="11"/>
  <c r="F14" i="11"/>
  <c r="G14" i="11"/>
  <c r="H14" i="11"/>
  <c r="F15" i="11"/>
  <c r="G15" i="11"/>
  <c r="H15" i="11"/>
  <c r="F16" i="11"/>
  <c r="G16" i="11"/>
  <c r="H16" i="11"/>
  <c r="F17" i="11"/>
  <c r="G17" i="11"/>
  <c r="H17" i="11"/>
  <c r="F18" i="11"/>
  <c r="G18" i="11"/>
  <c r="H18" i="11"/>
  <c r="F19" i="11"/>
  <c r="G19" i="11"/>
  <c r="H19" i="11"/>
  <c r="F20" i="11"/>
  <c r="G20" i="11"/>
  <c r="H20" i="11"/>
  <c r="F21" i="11"/>
  <c r="G21" i="11"/>
  <c r="H21" i="11"/>
  <c r="F22" i="11"/>
  <c r="G22" i="11"/>
  <c r="H22" i="11"/>
  <c r="F23" i="11"/>
  <c r="G23" i="11"/>
  <c r="H23" i="11"/>
  <c r="F24" i="11"/>
  <c r="G24" i="11"/>
  <c r="H24" i="11"/>
  <c r="F25" i="11"/>
  <c r="G25" i="11"/>
  <c r="H25" i="11"/>
  <c r="F26" i="11"/>
  <c r="G26" i="11"/>
  <c r="H26" i="11"/>
  <c r="F27" i="11"/>
  <c r="G27" i="11"/>
  <c r="H27" i="11"/>
  <c r="F28" i="11"/>
  <c r="G28" i="11"/>
  <c r="H28" i="11"/>
  <c r="F29" i="11"/>
  <c r="G29" i="11"/>
  <c r="H29" i="11"/>
  <c r="F30" i="11"/>
  <c r="G30" i="11"/>
  <c r="H30" i="11"/>
  <c r="F31" i="11"/>
  <c r="G31" i="11"/>
  <c r="H31" i="11"/>
  <c r="F32" i="11"/>
  <c r="G32" i="11"/>
  <c r="H32" i="11"/>
  <c r="F33" i="11"/>
  <c r="G33" i="11"/>
  <c r="H33" i="11"/>
  <c r="F34" i="11"/>
  <c r="G34" i="11"/>
  <c r="H34" i="11"/>
  <c r="F35" i="11"/>
  <c r="G35" i="11"/>
  <c r="H35" i="11"/>
  <c r="F36" i="11"/>
  <c r="G36" i="11"/>
  <c r="H36" i="11"/>
  <c r="F37" i="11"/>
  <c r="G37" i="11"/>
  <c r="H37" i="11"/>
  <c r="F38" i="11"/>
  <c r="G38" i="11"/>
  <c r="H38" i="11"/>
  <c r="G13" i="10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F2" i="12"/>
  <c r="G3" i="10"/>
  <c r="G4" i="10"/>
  <c r="G5" i="10"/>
  <c r="G6" i="10"/>
  <c r="G7" i="10"/>
  <c r="G8" i="10"/>
  <c r="G9" i="10"/>
  <c r="G10" i="10"/>
  <c r="G11" i="10"/>
  <c r="G12" i="10"/>
  <c r="G14" i="10"/>
  <c r="G15" i="10"/>
  <c r="G16" i="10"/>
  <c r="G17" i="10"/>
  <c r="G18" i="10"/>
  <c r="G19" i="10"/>
  <c r="G20" i="10"/>
  <c r="G21" i="10"/>
  <c r="G22" i="10"/>
  <c r="G23" i="10"/>
  <c r="G2" i="10"/>
</calcChain>
</file>

<file path=xl/sharedStrings.xml><?xml version="1.0" encoding="utf-8"?>
<sst xmlns="http://schemas.openxmlformats.org/spreadsheetml/2006/main" count="461" uniqueCount="185">
  <si>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</si>
  <si>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</si>
  <si>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</si>
  <si>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</si>
  <si>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</si>
  <si>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</si>
  <si>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</si>
  <si>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</si>
  <si>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</si>
  <si>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</si>
  <si>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</si>
  <si>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</si>
  <si>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</si>
  <si>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</si>
  <si>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T11/0,415</t>
  </si>
  <si>
    <t>Line 11</t>
  </si>
  <si>
    <t>End 1</t>
  </si>
  <si>
    <t>End 2</t>
  </si>
  <si>
    <t>BS1</t>
  </si>
  <si>
    <t>B6</t>
  </si>
  <si>
    <t>B8</t>
  </si>
  <si>
    <t>BS2</t>
  </si>
  <si>
    <t>B12</t>
  </si>
  <si>
    <t>B16</t>
  </si>
  <si>
    <t>Lim MW</t>
  </si>
  <si>
    <t>Lim MVAR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</si>
  <si>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</si>
  <si>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</si>
  <si>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</si>
  <si>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</si>
  <si>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</si>
  <si>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</si>
  <si>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</si>
  <si>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</si>
  <si>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</si>
  <si>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</si>
  <si>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</si>
  <si>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</si>
  <si>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</si>
  <si>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</si>
  <si>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</si>
  <si>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</si>
  <si>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</si>
  <si>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</si>
  <si>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</si>
  <si>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</si>
  <si>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</si>
  <si>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</si>
  <si>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</si>
  <si>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</si>
  <si>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</si>
  <si>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</si>
  <si>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</si>
  <si>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</si>
  <si>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</si>
  <si>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</si>
  <si>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</si>
  <si>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</si>
  <si>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</si>
  <si>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</si>
  <si>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</si>
  <si>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</si>
  <si>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</si>
  <si>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</si>
  <si>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</si>
  <si>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</si>
  <si>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</si>
  <si>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</si>
  <si>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</si>
  <si>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</si>
  <si>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U</t>
  </si>
  <si>
    <t>N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</si>
  <si>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</si>
  <si>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</si>
  <si>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</si>
  <si>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</si>
  <si>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</si>
  <si>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</si>
  <si>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</si>
  <si>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</si>
  <si>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</si>
  <si>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</si>
  <si>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</si>
  <si>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</si>
  <si>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</si>
  <si>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</si>
  <si>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</si>
  <si>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</si>
  <si>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</si>
  <si>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</si>
  <si>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</si>
  <si>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</si>
  <si>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</si>
  <si>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</si>
  <si>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</si>
  <si>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</si>
  <si>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</si>
  <si>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</si>
  <si>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</si>
  <si>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</si>
  <si>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</si>
  <si>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</si>
  <si>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</si>
  <si>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</si>
  <si>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</si>
  <si>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</si>
  <si>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</si>
  <si>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</si>
  <si>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D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</si>
  <si>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</si>
  <si>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</si>
  <si>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</si>
  <si>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</si>
  <si>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</si>
  <si>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</si>
  <si>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</si>
  <si>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</si>
  <si>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</si>
  <si>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</si>
  <si>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</si>
  <si>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</si>
  <si>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</si>
  <si>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</si>
  <si>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</si>
  <si>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</si>
  <si>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Bus</t>
  </si>
  <si>
    <t>IsSlack</t>
  </si>
  <si>
    <t>Load_kVA</t>
  </si>
  <si>
    <t>PowerFactor</t>
  </si>
  <si>
    <t>P (MW)</t>
  </si>
  <si>
    <t>Q (MVAr)</t>
  </si>
  <si>
    <t>P_pu (pu)</t>
  </si>
  <si>
    <t>Q_pu (pu)</t>
  </si>
  <si>
    <t>From</t>
  </si>
  <si>
    <t>To</t>
  </si>
  <si>
    <t>r_pu (pu)</t>
  </si>
  <si>
    <t>x_pu (pu)</t>
  </si>
  <si>
    <t>b_pu (pu)</t>
  </si>
  <si>
    <t>r (ohm)</t>
  </si>
  <si>
    <t>x (ohm)</t>
  </si>
  <si>
    <t>b (S)</t>
  </si>
  <si>
    <t>c_NOK_per_kWh_1h</t>
  </si>
  <si>
    <t>c_NOK_per_kWh_4h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</si>
  <si>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</si>
  <si>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</si>
  <si>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</si>
  <si>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</si>
  <si>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</si>
  <si>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</si>
  <si>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</si>
  <si>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</si>
  <si>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</si>
  <si>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</si>
  <si>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</si>
  <si>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</si>
  <si>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</si>
  <si>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</si>
  <si>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</si>
  <si>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</si>
  <si>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</si>
  <si>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</si>
  <si>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</si>
  <si>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</si>
  <si>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</si>
  <si>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</si>
  <si>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</si>
  <si>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</si>
  <si>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</si>
  <si>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</si>
  <si>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</si>
  <si>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</si>
  <si>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</si>
  <si>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</si>
  <si>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</si>
  <si>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</si>
  <si>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</si>
  <si>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</si>
  <si>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</si>
  <si>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</si>
  <si>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</si>
  <si>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Node</t>
  </si>
  <si>
    <t>x</t>
  </si>
  <si>
    <t>y</t>
  </si>
  <si>
    <t>r_transformer</t>
  </si>
  <si>
    <t>lambda_transformer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</si>
</sst>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0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65" fontId="1" fillId="0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>
      <alignment horizontal="right"/>
    </xf>
    <xf numFmtId="3" fontId="0" fillId="0" borderId="0" xfId="0" applyNumberFormat="1"/>
  </cellXfs>
  <cellStyles count="2">
    <cellStyle name="Normal" xfId="0" builtinId="0"/>
    <cellStyle name="Normal 2" xfId="1" xr:uid="{7971EAD6-DE1F-3C40-9A53-2025EEF602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39"/>
  <sheetViews>
    <sheetView topLeftCell="A16" workbookViewId="0">
      <selection activeCell="F37" sqref="F37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35</v>
      </c>
    </row>
    <row r="3" spans="1:1" ht="17.25" customHeight="1" x14ac:dyDescent="0.2">
      <c r="A3" t="s">
        <v>37</v>
      </c>
    </row>
    <row r="4" spans="1:1" ht="17.25" customHeight="1" x14ac:dyDescent="0.2">
      <c r="A4" t="s">
        <v>38</v>
      </c>
    </row>
    <row r="5" spans="1:1" ht="17.25" customHeight="1" x14ac:dyDescent="0.2">
      <c r="A5" t="s">
        <v>39</v>
      </c>
    </row>
    <row r="6" spans="1:1" ht="17.25" customHeight="1" x14ac:dyDescent="0.2">
      <c r="A6" t="s">
        <v>41</v>
      </c>
    </row>
    <row r="7" spans="1:1" ht="17.25" customHeight="1" x14ac:dyDescent="0.2">
      <c r="A7" t="s">
        <v>42</v>
      </c>
    </row>
    <row r="8" spans="1:1" ht="17.25" customHeight="1" x14ac:dyDescent="0.2">
      <c r="A8" t="s">
        <v>44</v>
      </c>
    </row>
    <row r="9" spans="1:1" ht="17.25" customHeight="1" x14ac:dyDescent="0.2">
      <c r="A9" t="s">
        <v>45</v>
      </c>
    </row>
    <row r="10" spans="1:1" ht="17.25" customHeight="1" x14ac:dyDescent="0.2">
      <c r="A10" t="s">
        <v>47</v>
      </c>
    </row>
    <row r="11" spans="1:1" ht="17.25" customHeight="1" x14ac:dyDescent="0.2">
      <c r="A11" t="s">
        <v>48</v>
      </c>
    </row>
    <row r="12" spans="1:1" ht="17.25" customHeight="1" x14ac:dyDescent="0.2">
      <c r="A12" t="s">
        <v>49</v>
      </c>
    </row>
    <row r="13" spans="1:1" ht="17.25" customHeight="1" x14ac:dyDescent="0.2">
      <c r="A13" t="s">
        <v>50</v>
      </c>
    </row>
    <row r="14" spans="1:1" ht="17.25" customHeight="1" x14ac:dyDescent="0.2">
      <c r="A14" t="s">
        <v>51</v>
      </c>
    </row>
    <row r="15" spans="1:1" ht="17.25" customHeight="1" x14ac:dyDescent="0.2">
      <c r="A15" t="s">
        <v>52</v>
      </c>
    </row>
    <row r="16" spans="1:1" ht="17.25" customHeight="1" x14ac:dyDescent="0.2">
      <c r="A16" t="s">
        <v>53</v>
      </c>
    </row>
    <row r="17" spans="1:1" ht="17.25" customHeight="1" x14ac:dyDescent="0.2">
      <c r="A17" t="s">
        <v>54</v>
      </c>
    </row>
    <row r="18" spans="1:1" ht="17.25" customHeight="1" x14ac:dyDescent="0.2">
      <c r="A18" t="s">
        <v>55</v>
      </c>
    </row>
    <row r="19" spans="1:1" ht="17.25" customHeight="1" x14ac:dyDescent="0.2">
      <c r="A19" t="s">
        <v>56</v>
      </c>
    </row>
    <row r="20" spans="1:1" ht="17.25" customHeight="1" x14ac:dyDescent="0.2">
      <c r="A20" t="s">
        <v>57</v>
      </c>
    </row>
    <row r="21" spans="1:1" ht="17.25" customHeight="1" x14ac:dyDescent="0.2">
      <c r="A21" t="s">
        <v>58</v>
      </c>
    </row>
    <row r="22" spans="1:1" ht="17.25" customHeight="1" x14ac:dyDescent="0.2">
      <c r="A22" t="s">
        <v>59</v>
      </c>
    </row>
    <row r="23" spans="1:1" ht="17.25" customHeight="1" x14ac:dyDescent="0.2">
      <c r="A23" t="s">
        <v>60</v>
      </c>
    </row>
    <row r="24" spans="1:1" ht="17.25" customHeight="1" x14ac:dyDescent="0.2">
      <c r="A24" t="s">
        <v>109</v>
      </c>
    </row>
    <row r="25" spans="1:1" ht="17.25" customHeight="1" x14ac:dyDescent="0.2">
      <c r="A25" t="s">
        <v>110</v>
      </c>
    </row>
    <row r="26" spans="1:1" ht="17.25" customHeight="1" x14ac:dyDescent="0.2">
      <c r="A26" t="s">
        <v>111</v>
      </c>
    </row>
    <row r="27" spans="1:1" ht="17.25" customHeight="1" x14ac:dyDescent="0.2">
      <c r="A27" t="s">
        <v>112</v>
      </c>
    </row>
    <row r="28" spans="1:1" ht="17.25" customHeight="1" x14ac:dyDescent="0.2">
      <c r="A28" t="s">
        <v>113</v>
      </c>
    </row>
    <row r="29" spans="1:1" ht="17.25" customHeight="1" x14ac:dyDescent="0.2">
      <c r="A29" t="s">
        <v>114</v>
      </c>
    </row>
    <row r="30" spans="1:1" ht="17.25" customHeight="1" x14ac:dyDescent="0.2">
      <c r="A30" t="s">
        <v>115</v>
      </c>
    </row>
    <row r="31" spans="1:1" ht="17.25" customHeight="1" x14ac:dyDescent="0.2">
      <c r="A31" t="s">
        <v>116</v>
      </c>
    </row>
    <row r="32" spans="1:1" ht="17.25" customHeight="1" x14ac:dyDescent="0.2">
      <c r="A32" t="s">
        <v>117</v>
      </c>
    </row>
    <row r="33" spans="1:1" ht="17.25" customHeight="1" x14ac:dyDescent="0.2">
      <c r="A33" t="s">
        <v>118</v>
      </c>
    </row>
    <row r="34" spans="1:1" ht="17.25" customHeight="1" x14ac:dyDescent="0.2">
      <c r="A34" t="s">
        <v>119</v>
      </c>
    </row>
    <row r="35" spans="1:1" ht="17.25" customHeight="1" x14ac:dyDescent="0.2">
      <c r="A35" t="s">
        <v>120</v>
      </c>
    </row>
    <row r="36" spans="1:1" ht="17.25" customHeight="1" x14ac:dyDescent="0.2">
      <c r="A36" t="s">
        <v>121</v>
      </c>
    </row>
    <row r="37" spans="1:1" ht="17.25" customHeight="1" x14ac:dyDescent="0.2">
      <c r="A37" t="s">
        <v>122</v>
      </c>
    </row>
    <row r="38" spans="1:1" ht="17.25" customHeight="1" x14ac:dyDescent="0.2">
      <c r="A38" t="s">
        <v>123</v>
      </c>
    </row>
    <row r="39" spans="1:1" ht="17.25" customHeight="1" x14ac:dyDescent="0.2">
      <c r="A39" t="s">
        <v>124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8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4" width="12.5" bestFit="1" customWidth="1"/>
    <col min="5" max="6" width="23.5" bestFit="1" customWidth="1"/>
    <col min="7" max="7" width="12.5" bestFit="1" customWidth="1"/>
    <col min="8" max="8" width="18.5" style="2" bestFit="1" customWidth="1"/>
    <col min="9" max="9" width="21.33203125" style="2" bestFit="1" customWidth="1"/>
  </cols>
  <sheetData>
    <row r="1" spans="1:9" ht="19.5" customHeight="1" x14ac:dyDescent="0.2">
      <c r="B1" s="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s="1" t="s">
        <v>67</v>
      </c>
      <c r="I1" s="1" t="s">
        <v>68</v>
      </c>
    </row>
    <row r="2" spans="1:9" ht="19.5" customHeight="1" x14ac:dyDescent="0.2">
      <c r="A2" t="s">
        <v>69</v>
      </c>
      <c r="B2" s="3">
        <v>0.75</v>
      </c>
      <c r="C2" t="s">
        <v>110</v>
      </c>
      <c r="D2" t="s">
        <v>111</v>
      </c>
      <c r="E2" t="s">
        <v>70</v>
      </c>
      <c r="F2" t="s">
        <v>71</v>
      </c>
      <c r="G2" t="s">
        <v>15</v>
      </c>
      <c r="H2" s="1">
        <v>0</v>
      </c>
      <c r="I2" s="1">
        <v>0</v>
      </c>
    </row>
    <row r="3" spans="1:9" ht="19.5" customHeight="1" x14ac:dyDescent="0.2">
      <c r="A3" t="s">
        <v>72</v>
      </c>
      <c r="B3" s="3">
        <v>0.6</v>
      </c>
      <c r="C3" t="s">
        <v>111</v>
      </c>
      <c r="D3" t="s">
        <v>35</v>
      </c>
      <c r="E3" t="s">
        <v>71</v>
      </c>
      <c r="F3" t="s">
        <v>71</v>
      </c>
      <c r="G3" t="s">
        <v>15</v>
      </c>
      <c r="H3" s="1">
        <v>1</v>
      </c>
      <c r="I3" s="1" t="s">
        <v>14</v>
      </c>
    </row>
    <row r="4" spans="1:9" ht="19.5" customHeight="1" x14ac:dyDescent="0.2">
      <c r="A4" t="s">
        <v>73</v>
      </c>
      <c r="B4" s="3">
        <v>0.8</v>
      </c>
      <c r="C4" t="s">
        <v>111</v>
      </c>
      <c r="D4" t="s">
        <v>37</v>
      </c>
      <c r="E4" t="s">
        <v>71</v>
      </c>
      <c r="F4" t="s">
        <v>71</v>
      </c>
      <c r="G4" t="s">
        <v>15</v>
      </c>
      <c r="H4" s="1">
        <v>1</v>
      </c>
      <c r="I4" s="1" t="s">
        <v>14</v>
      </c>
    </row>
    <row r="5" spans="1:9" ht="19.5" customHeight="1" x14ac:dyDescent="0.2">
      <c r="A5" t="s">
        <v>74</v>
      </c>
      <c r="B5" s="3">
        <v>0.75</v>
      </c>
      <c r="C5" t="s">
        <v>111</v>
      </c>
      <c r="D5" t="s">
        <v>112</v>
      </c>
      <c r="E5" t="s">
        <v>71</v>
      </c>
      <c r="F5" t="s">
        <v>70</v>
      </c>
      <c r="G5" t="s">
        <v>15</v>
      </c>
      <c r="H5" s="1">
        <v>0</v>
      </c>
      <c r="I5" s="1">
        <v>0</v>
      </c>
    </row>
    <row r="6" spans="1:9" ht="19.5" customHeight="1" x14ac:dyDescent="0.2">
      <c r="A6" t="s">
        <v>75</v>
      </c>
      <c r="B6" s="3">
        <v>0.8</v>
      </c>
      <c r="C6" t="s">
        <v>112</v>
      </c>
      <c r="D6" t="s">
        <v>38</v>
      </c>
      <c r="E6" t="s">
        <v>71</v>
      </c>
      <c r="F6" t="s">
        <v>71</v>
      </c>
      <c r="G6" t="s">
        <v>15</v>
      </c>
      <c r="H6" s="1">
        <v>1</v>
      </c>
      <c r="I6" s="1" t="s">
        <v>14</v>
      </c>
    </row>
    <row r="7" spans="1:9" ht="19.5" customHeight="1" x14ac:dyDescent="0.2">
      <c r="A7" t="s">
        <v>76</v>
      </c>
      <c r="B7" s="3">
        <v>0.6</v>
      </c>
      <c r="C7" t="s">
        <v>112</v>
      </c>
      <c r="D7" t="s">
        <v>39</v>
      </c>
      <c r="E7" t="s">
        <v>71</v>
      </c>
      <c r="F7" t="s">
        <v>71</v>
      </c>
      <c r="G7" t="s">
        <v>15</v>
      </c>
      <c r="H7" s="1">
        <v>1</v>
      </c>
      <c r="I7" s="1" t="s">
        <v>14</v>
      </c>
    </row>
    <row r="8" spans="1:9" ht="19.5" customHeight="1" x14ac:dyDescent="0.2">
      <c r="A8" t="s">
        <v>77</v>
      </c>
      <c r="B8" s="3">
        <v>0.75</v>
      </c>
      <c r="C8" t="s">
        <v>112</v>
      </c>
      <c r="D8" t="s">
        <v>113</v>
      </c>
      <c r="E8" t="s">
        <v>71</v>
      </c>
      <c r="F8" t="s">
        <v>70</v>
      </c>
      <c r="G8" t="s">
        <v>15</v>
      </c>
      <c r="H8" s="1">
        <v>0</v>
      </c>
      <c r="I8" s="1">
        <v>0</v>
      </c>
    </row>
    <row r="9" spans="1:9" ht="19.5" customHeight="1" x14ac:dyDescent="0.2">
      <c r="A9" t="s">
        <v>78</v>
      </c>
      <c r="B9" s="3">
        <v>0.8</v>
      </c>
      <c r="C9" t="s">
        <v>113</v>
      </c>
      <c r="D9" t="s">
        <v>41</v>
      </c>
      <c r="E9" t="s">
        <v>71</v>
      </c>
      <c r="F9" t="s">
        <v>71</v>
      </c>
      <c r="G9" t="s">
        <v>15</v>
      </c>
      <c r="H9" s="1">
        <v>1</v>
      </c>
      <c r="I9" s="1" t="s">
        <v>14</v>
      </c>
    </row>
    <row r="10" spans="1:9" ht="19.5" customHeight="1" x14ac:dyDescent="0.2">
      <c r="A10" t="s">
        <v>79</v>
      </c>
      <c r="B10" s="3">
        <v>0.75</v>
      </c>
      <c r="C10" t="s">
        <v>113</v>
      </c>
      <c r="D10" t="s">
        <v>42</v>
      </c>
      <c r="E10" t="s">
        <v>71</v>
      </c>
      <c r="F10" t="s">
        <v>71</v>
      </c>
      <c r="G10" t="s">
        <v>15</v>
      </c>
      <c r="H10" s="1">
        <v>1</v>
      </c>
      <c r="I10" s="1" t="s">
        <v>14</v>
      </c>
    </row>
    <row r="11" spans="1:9" ht="19.5" customHeight="1" x14ac:dyDescent="0.2">
      <c r="A11" t="s">
        <v>80</v>
      </c>
      <c r="B11" s="3">
        <v>0.6</v>
      </c>
      <c r="C11" t="s">
        <v>113</v>
      </c>
      <c r="D11" t="s">
        <v>114</v>
      </c>
      <c r="E11" t="s">
        <v>71</v>
      </c>
      <c r="F11" t="s">
        <v>70</v>
      </c>
      <c r="G11" t="s">
        <v>15</v>
      </c>
      <c r="H11" s="1">
        <v>0</v>
      </c>
      <c r="I11" s="1">
        <v>0</v>
      </c>
    </row>
    <row r="12" spans="1:9" ht="19.5" customHeight="1" x14ac:dyDescent="0.2">
      <c r="A12" t="s">
        <v>81</v>
      </c>
      <c r="B12" s="3">
        <v>0.8</v>
      </c>
      <c r="C12" t="s">
        <v>114</v>
      </c>
      <c r="D12" t="s">
        <v>44</v>
      </c>
      <c r="E12" t="s">
        <v>71</v>
      </c>
      <c r="F12" t="s">
        <v>71</v>
      </c>
      <c r="G12" t="s">
        <v>15</v>
      </c>
      <c r="H12" s="1">
        <v>1</v>
      </c>
      <c r="I12" s="1" t="s">
        <v>14</v>
      </c>
    </row>
    <row r="13" spans="1:9" ht="19.5" customHeight="1" x14ac:dyDescent="0.2">
      <c r="A13" t="s">
        <v>82</v>
      </c>
      <c r="B13" s="3">
        <v>0.75</v>
      </c>
      <c r="C13" t="s">
        <v>110</v>
      </c>
      <c r="D13" t="s">
        <v>115</v>
      </c>
      <c r="E13" t="s">
        <v>70</v>
      </c>
      <c r="F13" t="s">
        <v>71</v>
      </c>
      <c r="G13" t="s">
        <v>15</v>
      </c>
      <c r="H13" s="1">
        <v>0</v>
      </c>
      <c r="I13" s="1">
        <v>0</v>
      </c>
    </row>
    <row r="14" spans="1:9" ht="19.5" customHeight="1" x14ac:dyDescent="0.2">
      <c r="A14" t="s">
        <v>83</v>
      </c>
      <c r="B14" s="3">
        <v>0.8</v>
      </c>
      <c r="C14" t="s">
        <v>115</v>
      </c>
      <c r="D14" t="s">
        <v>45</v>
      </c>
      <c r="E14" t="s">
        <v>71</v>
      </c>
      <c r="F14" t="s">
        <v>71</v>
      </c>
      <c r="G14" t="s">
        <v>15</v>
      </c>
      <c r="H14" s="1">
        <v>0</v>
      </c>
      <c r="I14" s="1">
        <v>0</v>
      </c>
    </row>
    <row r="15" spans="1:9" ht="19.5" customHeight="1" x14ac:dyDescent="0.2">
      <c r="A15" t="s">
        <v>84</v>
      </c>
      <c r="B15" s="3">
        <v>0.6</v>
      </c>
      <c r="C15" t="s">
        <v>115</v>
      </c>
      <c r="D15" t="s">
        <v>116</v>
      </c>
      <c r="E15" t="s">
        <v>71</v>
      </c>
      <c r="F15" t="s">
        <v>70</v>
      </c>
      <c r="G15" t="s">
        <v>15</v>
      </c>
      <c r="H15" s="1">
        <v>0</v>
      </c>
      <c r="I15" s="1">
        <v>0</v>
      </c>
    </row>
    <row r="16" spans="1:9" ht="19.5" customHeight="1" x14ac:dyDescent="0.2">
      <c r="A16" t="s">
        <v>85</v>
      </c>
      <c r="B16" s="3">
        <v>0.8</v>
      </c>
      <c r="C16" t="s">
        <v>116</v>
      </c>
      <c r="D16" t="s">
        <v>47</v>
      </c>
      <c r="E16" t="s">
        <v>71</v>
      </c>
      <c r="F16" t="s">
        <v>71</v>
      </c>
      <c r="G16" t="s">
        <v>15</v>
      </c>
      <c r="H16" s="1">
        <v>0</v>
      </c>
      <c r="I16" s="1">
        <v>0</v>
      </c>
    </row>
    <row r="17" spans="1:9" ht="18.75" customHeight="1" x14ac:dyDescent="0.2">
      <c r="A17" t="s">
        <v>86</v>
      </c>
      <c r="B17" s="3">
        <v>0.75</v>
      </c>
      <c r="C17" t="s">
        <v>110</v>
      </c>
      <c r="D17" t="s">
        <v>117</v>
      </c>
      <c r="E17" t="s">
        <v>70</v>
      </c>
      <c r="F17" t="s">
        <v>71</v>
      </c>
      <c r="G17" t="s">
        <v>15</v>
      </c>
      <c r="H17" s="1">
        <v>0</v>
      </c>
      <c r="I17" s="1">
        <v>0</v>
      </c>
    </row>
    <row r="18" spans="1:9" ht="18.75" customHeight="1" x14ac:dyDescent="0.2">
      <c r="A18" t="s">
        <v>87</v>
      </c>
      <c r="B18" s="3">
        <v>0.6</v>
      </c>
      <c r="C18" t="s">
        <v>117</v>
      </c>
      <c r="D18" t="s">
        <v>48</v>
      </c>
      <c r="E18" t="s">
        <v>71</v>
      </c>
      <c r="F18" t="s">
        <v>71</v>
      </c>
      <c r="G18" t="s">
        <v>15</v>
      </c>
      <c r="H18" s="1">
        <v>1</v>
      </c>
      <c r="I18" s="1" t="s">
        <v>14</v>
      </c>
    </row>
    <row r="19" spans="1:9" ht="18.75" customHeight="1" x14ac:dyDescent="0.2">
      <c r="A19" t="s">
        <v>88</v>
      </c>
      <c r="B19" s="3">
        <v>0.8</v>
      </c>
      <c r="C19" t="s">
        <v>117</v>
      </c>
      <c r="D19" t="s">
        <v>118</v>
      </c>
      <c r="E19" t="s">
        <v>71</v>
      </c>
      <c r="F19" t="s">
        <v>70</v>
      </c>
      <c r="G19" t="s">
        <v>15</v>
      </c>
      <c r="H19" s="1">
        <v>0</v>
      </c>
      <c r="I19" s="1">
        <v>0</v>
      </c>
    </row>
    <row r="20" spans="1:9" ht="19.5" customHeight="1" x14ac:dyDescent="0.2">
      <c r="A20" t="s">
        <v>89</v>
      </c>
      <c r="B20" s="3">
        <v>0.75</v>
      </c>
      <c r="C20" t="s">
        <v>118</v>
      </c>
      <c r="D20" t="s">
        <v>49</v>
      </c>
      <c r="E20" t="s">
        <v>71</v>
      </c>
      <c r="F20" t="s">
        <v>71</v>
      </c>
      <c r="G20" t="s">
        <v>15</v>
      </c>
      <c r="H20" s="1">
        <v>1</v>
      </c>
      <c r="I20" s="1" t="s">
        <v>14</v>
      </c>
    </row>
    <row r="21" spans="1:9" ht="19.5" customHeight="1" x14ac:dyDescent="0.2">
      <c r="A21" t="s">
        <v>90</v>
      </c>
      <c r="B21" s="3">
        <v>0.8</v>
      </c>
      <c r="C21" t="s">
        <v>118</v>
      </c>
      <c r="D21" t="s">
        <v>50</v>
      </c>
      <c r="E21" t="s">
        <v>71</v>
      </c>
      <c r="F21" t="s">
        <v>71</v>
      </c>
      <c r="G21" t="s">
        <v>15</v>
      </c>
      <c r="H21" s="1">
        <v>1</v>
      </c>
      <c r="I21" s="1" t="s">
        <v>14</v>
      </c>
    </row>
    <row r="22" spans="1:9" ht="19.5" customHeight="1" x14ac:dyDescent="0.2">
      <c r="A22" t="s">
        <v>91</v>
      </c>
      <c r="B22" s="3">
        <v>0.6</v>
      </c>
      <c r="C22" t="s">
        <v>118</v>
      </c>
      <c r="D22" t="s">
        <v>119</v>
      </c>
      <c r="E22" t="s">
        <v>71</v>
      </c>
      <c r="F22" t="s">
        <v>70</v>
      </c>
      <c r="G22" t="s">
        <v>15</v>
      </c>
      <c r="H22" s="1">
        <v>0</v>
      </c>
      <c r="I22" s="1">
        <v>0</v>
      </c>
    </row>
    <row r="23" spans="1:9" ht="19.5" customHeight="1" x14ac:dyDescent="0.2">
      <c r="A23" t="s">
        <v>92</v>
      </c>
      <c r="B23" s="3">
        <v>0.75</v>
      </c>
      <c r="C23" t="s">
        <v>119</v>
      </c>
      <c r="D23" t="s">
        <v>51</v>
      </c>
      <c r="E23" t="s">
        <v>71</v>
      </c>
      <c r="F23" t="s">
        <v>71</v>
      </c>
      <c r="G23" t="s">
        <v>15</v>
      </c>
      <c r="H23" s="1">
        <v>1</v>
      </c>
      <c r="I23" s="1" t="s">
        <v>14</v>
      </c>
    </row>
    <row r="24" spans="1:9" ht="19.5" customHeight="1" x14ac:dyDescent="0.2">
      <c r="A24" t="s">
        <v>93</v>
      </c>
      <c r="B24" s="3">
        <v>0.8</v>
      </c>
      <c r="C24" t="s">
        <v>119</v>
      </c>
      <c r="D24" t="s">
        <v>52</v>
      </c>
      <c r="E24" t="s">
        <v>71</v>
      </c>
      <c r="F24" t="s">
        <v>71</v>
      </c>
      <c r="G24" t="s">
        <v>15</v>
      </c>
      <c r="H24" s="1">
        <v>1</v>
      </c>
      <c r="I24" s="1" t="s">
        <v>14</v>
      </c>
    </row>
    <row r="25" spans="1:9" ht="19.5" customHeight="1" x14ac:dyDescent="0.2">
      <c r="A25" t="s">
        <v>94</v>
      </c>
      <c r="B25" s="3">
        <v>0.75</v>
      </c>
      <c r="C25" t="s">
        <v>119</v>
      </c>
      <c r="D25" t="s">
        <v>120</v>
      </c>
      <c r="E25" t="s">
        <v>71</v>
      </c>
      <c r="F25" t="s">
        <v>70</v>
      </c>
      <c r="G25" t="s">
        <v>15</v>
      </c>
      <c r="H25" s="1">
        <v>0</v>
      </c>
      <c r="I25" s="1">
        <v>0</v>
      </c>
    </row>
    <row r="26" spans="1:9" ht="19.5" customHeight="1" x14ac:dyDescent="0.2">
      <c r="A26" t="s">
        <v>95</v>
      </c>
      <c r="B26" s="3">
        <v>0.6</v>
      </c>
      <c r="C26" t="s">
        <v>120</v>
      </c>
      <c r="D26" t="s">
        <v>53</v>
      </c>
      <c r="E26" t="s">
        <v>71</v>
      </c>
      <c r="F26" t="s">
        <v>71</v>
      </c>
      <c r="G26" t="s">
        <v>15</v>
      </c>
      <c r="H26" s="1">
        <v>1</v>
      </c>
      <c r="I26" s="1" t="s">
        <v>14</v>
      </c>
    </row>
    <row r="27" spans="1:9" ht="19.5" customHeight="1" x14ac:dyDescent="0.2">
      <c r="A27" t="s">
        <v>96</v>
      </c>
      <c r="B27" s="3">
        <v>0.8</v>
      </c>
      <c r="C27" t="s">
        <v>110</v>
      </c>
      <c r="D27" t="s">
        <v>121</v>
      </c>
      <c r="E27" t="s">
        <v>70</v>
      </c>
      <c r="F27" t="s">
        <v>71</v>
      </c>
      <c r="G27" t="s">
        <v>15</v>
      </c>
      <c r="H27" s="1">
        <v>0</v>
      </c>
      <c r="I27" s="1">
        <v>0</v>
      </c>
    </row>
    <row r="28" spans="1:9" ht="19.5" customHeight="1" x14ac:dyDescent="0.2">
      <c r="A28" t="s">
        <v>97</v>
      </c>
      <c r="B28" s="3">
        <v>0.75</v>
      </c>
      <c r="C28" t="s">
        <v>121</v>
      </c>
      <c r="D28" t="s">
        <v>54</v>
      </c>
      <c r="E28" t="s">
        <v>71</v>
      </c>
      <c r="F28" t="s">
        <v>71</v>
      </c>
      <c r="G28" t="s">
        <v>15</v>
      </c>
      <c r="H28" s="1">
        <v>1</v>
      </c>
      <c r="I28" s="1" t="s">
        <v>14</v>
      </c>
    </row>
    <row r="29" spans="1:9" ht="19.5" customHeight="1" x14ac:dyDescent="0.2">
      <c r="A29" t="s">
        <v>98</v>
      </c>
      <c r="B29" s="3">
        <v>0.6</v>
      </c>
      <c r="C29" t="s">
        <v>121</v>
      </c>
      <c r="D29" t="s">
        <v>55</v>
      </c>
      <c r="E29" t="s">
        <v>71</v>
      </c>
      <c r="F29" t="s">
        <v>71</v>
      </c>
      <c r="G29" t="s">
        <v>15</v>
      </c>
      <c r="H29" s="1">
        <v>1</v>
      </c>
      <c r="I29" s="1" t="s">
        <v>14</v>
      </c>
    </row>
    <row r="30" spans="1:9" ht="19.5" customHeight="1" x14ac:dyDescent="0.2">
      <c r="A30" t="s">
        <v>99</v>
      </c>
      <c r="B30" s="3">
        <v>0.75</v>
      </c>
      <c r="C30" t="s">
        <v>121</v>
      </c>
      <c r="D30" t="s">
        <v>122</v>
      </c>
      <c r="E30" t="s">
        <v>71</v>
      </c>
      <c r="F30" t="s">
        <v>70</v>
      </c>
      <c r="G30" t="s">
        <v>15</v>
      </c>
      <c r="H30" s="1">
        <v>0</v>
      </c>
      <c r="I30" s="1">
        <v>0</v>
      </c>
    </row>
    <row r="31" spans="1:9" ht="19.5" customHeight="1" x14ac:dyDescent="0.2">
      <c r="A31" t="s">
        <v>100</v>
      </c>
      <c r="B31" s="3">
        <v>0.6</v>
      </c>
      <c r="C31" t="s">
        <v>122</v>
      </c>
      <c r="D31" t="s">
        <v>56</v>
      </c>
      <c r="E31" t="s">
        <v>71</v>
      </c>
      <c r="F31" t="s">
        <v>71</v>
      </c>
      <c r="G31" t="s">
        <v>15</v>
      </c>
      <c r="H31" s="1">
        <v>1</v>
      </c>
      <c r="I31" s="1" t="s">
        <v>14</v>
      </c>
    </row>
    <row r="32" spans="1:9" ht="19.5" customHeight="1" x14ac:dyDescent="0.2">
      <c r="A32" t="s">
        <v>101</v>
      </c>
      <c r="B32" s="3">
        <v>0.8</v>
      </c>
      <c r="C32" t="s">
        <v>122</v>
      </c>
      <c r="D32" t="s">
        <v>57</v>
      </c>
      <c r="E32" t="s">
        <v>71</v>
      </c>
      <c r="F32" t="s">
        <v>71</v>
      </c>
      <c r="G32" t="s">
        <v>15</v>
      </c>
      <c r="H32" s="1">
        <v>1</v>
      </c>
      <c r="I32" s="1" t="s">
        <v>14</v>
      </c>
    </row>
    <row r="33" spans="1:9" ht="19.5" customHeight="1" x14ac:dyDescent="0.2">
      <c r="A33" t="s">
        <v>102</v>
      </c>
      <c r="B33" s="3">
        <v>0.75</v>
      </c>
      <c r="C33" t="s">
        <v>122</v>
      </c>
      <c r="D33" t="s">
        <v>123</v>
      </c>
      <c r="E33" t="s">
        <v>71</v>
      </c>
      <c r="F33" t="s">
        <v>70</v>
      </c>
      <c r="G33" t="s">
        <v>15</v>
      </c>
      <c r="H33" s="1">
        <v>0</v>
      </c>
      <c r="I33" s="1">
        <v>0</v>
      </c>
    </row>
    <row r="34" spans="1:9" ht="19.5" customHeight="1" x14ac:dyDescent="0.2">
      <c r="A34" t="s">
        <v>103</v>
      </c>
      <c r="B34" s="3">
        <v>0.8</v>
      </c>
      <c r="C34" t="s">
        <v>123</v>
      </c>
      <c r="D34" t="s">
        <v>58</v>
      </c>
      <c r="E34" t="s">
        <v>71</v>
      </c>
      <c r="F34" t="s">
        <v>71</v>
      </c>
      <c r="G34" t="s">
        <v>15</v>
      </c>
      <c r="H34" s="1">
        <v>1</v>
      </c>
      <c r="I34" s="1" t="s">
        <v>14</v>
      </c>
    </row>
    <row r="35" spans="1:9" ht="17.25" customHeight="1" x14ac:dyDescent="0.2">
      <c r="A35" t="s">
        <v>104</v>
      </c>
      <c r="B35" s="3">
        <v>0.6</v>
      </c>
      <c r="C35" t="s">
        <v>123</v>
      </c>
      <c r="D35" t="s">
        <v>124</v>
      </c>
      <c r="E35" t="s">
        <v>71</v>
      </c>
      <c r="F35" t="s">
        <v>70</v>
      </c>
      <c r="G35" t="s">
        <v>15</v>
      </c>
      <c r="H35" s="1">
        <v>0</v>
      </c>
      <c r="I35" s="1">
        <v>0</v>
      </c>
    </row>
    <row r="36" spans="1:9" ht="17.25" customHeight="1" x14ac:dyDescent="0.2">
      <c r="A36" t="s">
        <v>105</v>
      </c>
      <c r="B36" s="3">
        <v>0.75</v>
      </c>
      <c r="C36" t="s">
        <v>124</v>
      </c>
      <c r="D36" t="s">
        <v>59</v>
      </c>
      <c r="E36" t="s">
        <v>71</v>
      </c>
      <c r="F36" t="s">
        <v>71</v>
      </c>
      <c r="G36" t="s">
        <v>15</v>
      </c>
      <c r="H36" s="1">
        <v>1</v>
      </c>
      <c r="I36" s="1" t="s">
        <v>14</v>
      </c>
    </row>
    <row r="37" spans="1:9" ht="17.25" customHeight="1" x14ac:dyDescent="0.2">
      <c r="A37" t="s">
        <v>106</v>
      </c>
      <c r="B37" s="3">
        <v>0.8</v>
      </c>
      <c r="C37" t="s">
        <v>124</v>
      </c>
      <c r="D37" t="s">
        <v>60</v>
      </c>
      <c r="E37" t="s">
        <v>71</v>
      </c>
      <c r="F37" t="s">
        <v>71</v>
      </c>
      <c r="G37" t="s">
        <v>15</v>
      </c>
      <c r="H37" s="1">
        <v>1</v>
      </c>
      <c r="I37" s="1" t="s">
        <v>14</v>
      </c>
    </row>
    <row r="38" spans="1:9" ht="17.25" customHeight="1" x14ac:dyDescent="0.2">
      <c r="A38" t="s">
        <v>107</v>
      </c>
      <c r="B38" s="1">
        <v>1.0000000000000001E-5</v>
      </c>
      <c r="C38" t="s">
        <v>109</v>
      </c>
      <c r="D38" t="s">
        <v>110</v>
      </c>
      <c r="E38" t="s">
        <v>108</v>
      </c>
      <c r="F38" t="s">
        <v>71</v>
      </c>
      <c r="G38" t="s">
        <v>15</v>
      </c>
      <c r="H38" s="1">
        <v>0</v>
      </c>
      <c r="I3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ED43-E72F-8443-A28E-BB969AB96DC1}">
  <dimension ref="A1:H39"/>
  <sheetViews>
    <sheetView workbookViewId="0">
      <selection activeCell="E7" sqref="E7"/>
    </sheetView>
  </sheetViews>
  <sheetFormatPr baseColWidth="10" defaultRowHeight="15" x14ac:dyDescent="0.2"/>
  <sheetData>
    <row r="1" spans="1:8" x14ac:dyDescent="0.2">
      <c r="A1" s="9" t="s">
        <v>125</v>
      </c>
      <c r="B1" s="9" t="s">
        <v>126</v>
      </c>
      <c r="C1" s="10" t="s">
        <v>127</v>
      </c>
      <c r="D1" s="10" t="s">
        <v>128</v>
      </c>
      <c r="E1" s="10" t="s">
        <v>129</v>
      </c>
      <c r="F1" s="10" t="s">
        <v>130</v>
      </c>
      <c r="G1" s="10" t="s">
        <v>131</v>
      </c>
      <c r="H1" s="10" t="s">
        <v>132</v>
      </c>
    </row>
    <row r="2" spans="1:8" x14ac:dyDescent="0.2">
      <c r="A2">
        <v>1</v>
      </c>
      <c r="B2">
        <v>1</v>
      </c>
      <c r="C2" s="7">
        <v>0.53500000000000003</v>
      </c>
      <c r="D2">
        <v>1</v>
      </c>
      <c r="E2" s="7">
        <v>0.53500000000000003</v>
      </c>
      <c r="F2">
        <v>0</v>
      </c>
      <c r="G2">
        <f>E2/10</f>
        <v>5.3500000000000006E-2</v>
      </c>
      <c r="H2">
        <v>0</v>
      </c>
    </row>
    <row r="3" spans="1:8" x14ac:dyDescent="0.2">
      <c r="A3">
        <v>2</v>
      </c>
      <c r="B3">
        <v>0</v>
      </c>
      <c r="C3" s="7">
        <v>0.53500000000000003</v>
      </c>
      <c r="D3">
        <v>1</v>
      </c>
      <c r="E3" s="7">
        <v>0.53500000000000003</v>
      </c>
      <c r="F3">
        <v>0</v>
      </c>
      <c r="G3">
        <f t="shared" ref="G3:G23" si="0">E3/10</f>
        <v>5.3500000000000006E-2</v>
      </c>
      <c r="H3">
        <v>0</v>
      </c>
    </row>
    <row r="4" spans="1:8" x14ac:dyDescent="0.2">
      <c r="A4">
        <v>3</v>
      </c>
      <c r="B4">
        <v>0</v>
      </c>
      <c r="C4" s="7">
        <v>0.53500000000000003</v>
      </c>
      <c r="D4">
        <v>1</v>
      </c>
      <c r="E4" s="7">
        <v>0.53500000000000003</v>
      </c>
      <c r="F4">
        <v>0</v>
      </c>
      <c r="G4">
        <f t="shared" si="0"/>
        <v>5.3500000000000006E-2</v>
      </c>
      <c r="H4">
        <v>0</v>
      </c>
    </row>
    <row r="5" spans="1:8" x14ac:dyDescent="0.2">
      <c r="A5">
        <v>4</v>
      </c>
      <c r="B5">
        <v>0</v>
      </c>
      <c r="C5" s="7">
        <v>0.56599999999999995</v>
      </c>
      <c r="D5">
        <v>1</v>
      </c>
      <c r="E5" s="7">
        <v>0.56599999999999995</v>
      </c>
      <c r="F5">
        <v>0</v>
      </c>
      <c r="G5">
        <f t="shared" si="0"/>
        <v>5.6599999999999998E-2</v>
      </c>
      <c r="H5">
        <v>0</v>
      </c>
    </row>
    <row r="6" spans="1:8" x14ac:dyDescent="0.2">
      <c r="A6">
        <v>5</v>
      </c>
      <c r="B6">
        <v>0</v>
      </c>
      <c r="C6" s="7">
        <v>0.56599999999999995</v>
      </c>
      <c r="D6">
        <v>1</v>
      </c>
      <c r="E6" s="7">
        <v>0.56599999999999995</v>
      </c>
      <c r="F6">
        <v>0</v>
      </c>
      <c r="G6">
        <f t="shared" si="0"/>
        <v>5.6599999999999998E-2</v>
      </c>
      <c r="H6">
        <v>0</v>
      </c>
    </row>
    <row r="7" spans="1:8" x14ac:dyDescent="0.2">
      <c r="A7">
        <v>6</v>
      </c>
      <c r="B7">
        <v>0</v>
      </c>
      <c r="C7" s="7">
        <v>0.45400000000000001</v>
      </c>
      <c r="D7">
        <v>1</v>
      </c>
      <c r="E7" s="7">
        <v>0.45400000000000001</v>
      </c>
      <c r="F7">
        <v>0</v>
      </c>
      <c r="G7">
        <f t="shared" si="0"/>
        <v>4.5400000000000003E-2</v>
      </c>
      <c r="H7">
        <v>0</v>
      </c>
    </row>
    <row r="8" spans="1:8" x14ac:dyDescent="0.2">
      <c r="A8">
        <v>7</v>
      </c>
      <c r="B8">
        <v>0</v>
      </c>
      <c r="C8" s="7">
        <v>0.45400000000000001</v>
      </c>
      <c r="D8">
        <v>1</v>
      </c>
      <c r="E8" s="7">
        <v>0.45400000000000001</v>
      </c>
      <c r="F8">
        <v>0</v>
      </c>
      <c r="G8">
        <f t="shared" si="0"/>
        <v>4.5400000000000003E-2</v>
      </c>
      <c r="H8">
        <v>0</v>
      </c>
    </row>
    <row r="9" spans="1:8" x14ac:dyDescent="0.2">
      <c r="A9">
        <v>8</v>
      </c>
      <c r="B9">
        <v>0</v>
      </c>
      <c r="C9" s="7">
        <v>1</v>
      </c>
      <c r="D9">
        <v>1</v>
      </c>
      <c r="E9" s="7">
        <v>1</v>
      </c>
      <c r="F9">
        <v>0</v>
      </c>
      <c r="G9">
        <f t="shared" si="0"/>
        <v>0.1</v>
      </c>
      <c r="H9">
        <v>0</v>
      </c>
    </row>
    <row r="10" spans="1:8" x14ac:dyDescent="0.2">
      <c r="A10">
        <v>9</v>
      </c>
      <c r="B10">
        <v>0</v>
      </c>
      <c r="C10" s="7">
        <v>1.1499999999999999</v>
      </c>
      <c r="D10">
        <v>1</v>
      </c>
      <c r="E10" s="7">
        <v>1.1499999999999999</v>
      </c>
      <c r="F10">
        <v>0</v>
      </c>
      <c r="G10">
        <f t="shared" si="0"/>
        <v>0.11499999999999999</v>
      </c>
      <c r="H10">
        <v>0</v>
      </c>
    </row>
    <row r="11" spans="1:8" x14ac:dyDescent="0.2">
      <c r="A11">
        <v>10</v>
      </c>
      <c r="B11">
        <v>0</v>
      </c>
      <c r="C11" s="7">
        <v>0.53500000000000003</v>
      </c>
      <c r="D11">
        <v>1</v>
      </c>
      <c r="E11" s="7">
        <v>0.53500000000000003</v>
      </c>
      <c r="F11">
        <v>0</v>
      </c>
      <c r="G11">
        <f t="shared" si="0"/>
        <v>5.3500000000000006E-2</v>
      </c>
      <c r="H11">
        <v>0</v>
      </c>
    </row>
    <row r="12" spans="1:8" x14ac:dyDescent="0.2">
      <c r="A12">
        <v>11</v>
      </c>
      <c r="B12">
        <v>0</v>
      </c>
      <c r="C12" s="7">
        <v>0.53500000000000003</v>
      </c>
      <c r="D12">
        <v>1</v>
      </c>
      <c r="E12" s="7">
        <v>0.53500000000000003</v>
      </c>
      <c r="F12">
        <v>0</v>
      </c>
      <c r="G12">
        <f t="shared" si="0"/>
        <v>5.3500000000000006E-2</v>
      </c>
      <c r="H12">
        <v>0</v>
      </c>
    </row>
    <row r="13" spans="1:8" x14ac:dyDescent="0.2">
      <c r="A13">
        <v>12</v>
      </c>
      <c r="B13">
        <v>0</v>
      </c>
      <c r="C13" s="7">
        <v>0.45</v>
      </c>
      <c r="D13">
        <v>1</v>
      </c>
      <c r="E13" s="7">
        <v>0.45</v>
      </c>
      <c r="F13">
        <v>0</v>
      </c>
      <c r="G13">
        <f t="shared" si="0"/>
        <v>4.4999999999999998E-2</v>
      </c>
      <c r="H13">
        <v>0</v>
      </c>
    </row>
    <row r="14" spans="1:8" x14ac:dyDescent="0.2">
      <c r="A14">
        <v>13</v>
      </c>
      <c r="B14">
        <v>0</v>
      </c>
      <c r="C14" s="7">
        <v>0.56599999999999995</v>
      </c>
      <c r="D14">
        <v>1</v>
      </c>
      <c r="E14" s="7">
        <v>0.56599999999999995</v>
      </c>
      <c r="F14">
        <v>0</v>
      </c>
      <c r="G14">
        <f t="shared" si="0"/>
        <v>5.6599999999999998E-2</v>
      </c>
      <c r="H14">
        <v>0</v>
      </c>
    </row>
    <row r="15" spans="1:8" x14ac:dyDescent="0.2">
      <c r="A15">
        <v>14</v>
      </c>
      <c r="B15">
        <v>0</v>
      </c>
      <c r="C15" s="7">
        <v>0.56599999999999995</v>
      </c>
      <c r="D15">
        <v>1</v>
      </c>
      <c r="E15" s="7">
        <v>0.56599999999999995</v>
      </c>
      <c r="F15">
        <v>0</v>
      </c>
      <c r="G15">
        <f t="shared" si="0"/>
        <v>5.6599999999999998E-2</v>
      </c>
      <c r="H15">
        <v>0</v>
      </c>
    </row>
    <row r="16" spans="1:8" x14ac:dyDescent="0.2">
      <c r="A16">
        <v>15</v>
      </c>
      <c r="B16">
        <v>0</v>
      </c>
      <c r="C16" s="7">
        <v>0.45400000000000001</v>
      </c>
      <c r="D16">
        <v>1</v>
      </c>
      <c r="E16" s="7">
        <v>0.45400000000000001</v>
      </c>
      <c r="F16">
        <v>0</v>
      </c>
      <c r="G16">
        <f t="shared" si="0"/>
        <v>4.5400000000000003E-2</v>
      </c>
      <c r="H16">
        <v>0</v>
      </c>
    </row>
    <row r="17" spans="1:8" x14ac:dyDescent="0.2">
      <c r="A17">
        <v>16</v>
      </c>
      <c r="B17">
        <v>0</v>
      </c>
      <c r="C17" s="7">
        <v>0.45400000000000001</v>
      </c>
      <c r="D17">
        <v>1</v>
      </c>
      <c r="E17" s="7">
        <v>0.45400000000000001</v>
      </c>
      <c r="F17">
        <v>0</v>
      </c>
      <c r="G17">
        <f t="shared" si="0"/>
        <v>4.5400000000000003E-2</v>
      </c>
      <c r="H17">
        <v>0</v>
      </c>
    </row>
    <row r="18" spans="1:8" x14ac:dyDescent="0.2">
      <c r="A18">
        <v>17</v>
      </c>
      <c r="B18">
        <v>0</v>
      </c>
      <c r="C18" s="7">
        <v>0.45</v>
      </c>
      <c r="D18">
        <v>1</v>
      </c>
      <c r="E18" s="7">
        <v>0.45</v>
      </c>
      <c r="F18">
        <v>0</v>
      </c>
      <c r="G18">
        <f t="shared" si="0"/>
        <v>4.4999999999999998E-2</v>
      </c>
      <c r="H18">
        <v>0</v>
      </c>
    </row>
    <row r="19" spans="1:8" x14ac:dyDescent="0.2">
      <c r="A19">
        <v>18</v>
      </c>
      <c r="B19">
        <v>0</v>
      </c>
      <c r="C19" s="7">
        <v>0.45</v>
      </c>
      <c r="D19">
        <v>1</v>
      </c>
      <c r="E19" s="7">
        <v>0.45</v>
      </c>
      <c r="F19">
        <v>0</v>
      </c>
      <c r="G19">
        <f t="shared" si="0"/>
        <v>4.4999999999999998E-2</v>
      </c>
      <c r="H19">
        <v>0</v>
      </c>
    </row>
    <row r="20" spans="1:8" x14ac:dyDescent="0.2">
      <c r="A20">
        <v>19</v>
      </c>
      <c r="B20">
        <v>0</v>
      </c>
      <c r="C20" s="7">
        <v>0.45</v>
      </c>
      <c r="D20">
        <v>1</v>
      </c>
      <c r="E20" s="7">
        <v>0.45</v>
      </c>
      <c r="F20">
        <v>0</v>
      </c>
      <c r="G20">
        <f t="shared" si="0"/>
        <v>4.4999999999999998E-2</v>
      </c>
      <c r="H20">
        <v>0</v>
      </c>
    </row>
    <row r="21" spans="1:8" x14ac:dyDescent="0.2">
      <c r="A21">
        <v>20</v>
      </c>
      <c r="B21">
        <v>0</v>
      </c>
      <c r="C21" s="7">
        <v>0.56599999999999995</v>
      </c>
      <c r="D21">
        <v>1</v>
      </c>
      <c r="E21" s="7">
        <v>0.56599999999999995</v>
      </c>
      <c r="F21">
        <v>0</v>
      </c>
      <c r="G21">
        <f t="shared" si="0"/>
        <v>5.6599999999999998E-2</v>
      </c>
      <c r="H21">
        <v>0</v>
      </c>
    </row>
    <row r="22" spans="1:8" x14ac:dyDescent="0.2">
      <c r="A22">
        <v>21</v>
      </c>
      <c r="B22">
        <v>0</v>
      </c>
      <c r="C22" s="7">
        <v>0.56599999999999995</v>
      </c>
      <c r="D22">
        <v>1</v>
      </c>
      <c r="E22" s="7">
        <v>0.56599999999999995</v>
      </c>
      <c r="F22">
        <v>0</v>
      </c>
      <c r="G22">
        <f t="shared" si="0"/>
        <v>5.6599999999999998E-2</v>
      </c>
      <c r="H22">
        <v>0</v>
      </c>
    </row>
    <row r="23" spans="1:8" x14ac:dyDescent="0.2">
      <c r="A23">
        <v>22</v>
      </c>
      <c r="B23">
        <v>0</v>
      </c>
      <c r="C23" s="7">
        <v>0.45400000000000001</v>
      </c>
      <c r="D23">
        <v>1</v>
      </c>
      <c r="E23" s="7">
        <v>0.45400000000000001</v>
      </c>
      <c r="F23">
        <v>0</v>
      </c>
      <c r="G23">
        <f t="shared" si="0"/>
        <v>4.5400000000000003E-2</v>
      </c>
      <c r="H23">
        <v>0</v>
      </c>
    </row>
    <row r="24" spans="1:8" x14ac:dyDescent="0.2">
      <c r="A24">
        <v>23</v>
      </c>
      <c r="B24">
        <v>0</v>
      </c>
      <c r="C24" s="11">
        <v>0</v>
      </c>
      <c r="D24">
        <v>0</v>
      </c>
      <c r="E24" s="11">
        <v>0</v>
      </c>
      <c r="F24">
        <v>0</v>
      </c>
      <c r="G24">
        <v>0</v>
      </c>
      <c r="H24">
        <v>0</v>
      </c>
    </row>
    <row r="25" spans="1:8" x14ac:dyDescent="0.2">
      <c r="A25">
        <v>24</v>
      </c>
      <c r="B25">
        <v>0</v>
      </c>
      <c r="C25" s="11">
        <v>0</v>
      </c>
      <c r="D25">
        <v>0</v>
      </c>
      <c r="E25" s="11">
        <v>0</v>
      </c>
      <c r="F25">
        <v>0</v>
      </c>
      <c r="G25">
        <v>0</v>
      </c>
      <c r="H25">
        <v>0</v>
      </c>
    </row>
    <row r="26" spans="1:8" x14ac:dyDescent="0.2">
      <c r="A26">
        <v>25</v>
      </c>
      <c r="B26">
        <v>0</v>
      </c>
      <c r="C26" s="11">
        <v>0</v>
      </c>
      <c r="D26">
        <v>0</v>
      </c>
      <c r="E26" s="11">
        <v>0</v>
      </c>
      <c r="F26">
        <v>0</v>
      </c>
      <c r="G26">
        <v>0</v>
      </c>
      <c r="H26">
        <v>0</v>
      </c>
    </row>
    <row r="27" spans="1:8" x14ac:dyDescent="0.2">
      <c r="A27">
        <v>26</v>
      </c>
      <c r="B27">
        <v>0</v>
      </c>
      <c r="C27" s="11">
        <v>0</v>
      </c>
      <c r="D27">
        <v>0</v>
      </c>
      <c r="E27" s="11">
        <v>0</v>
      </c>
      <c r="F27">
        <v>0</v>
      </c>
      <c r="G27">
        <v>0</v>
      </c>
      <c r="H27">
        <v>0</v>
      </c>
    </row>
    <row r="28" spans="1:8" x14ac:dyDescent="0.2">
      <c r="A28">
        <v>27</v>
      </c>
      <c r="B28">
        <v>0</v>
      </c>
      <c r="C28" s="11">
        <v>0</v>
      </c>
      <c r="D28">
        <v>0</v>
      </c>
      <c r="E28" s="11">
        <v>0</v>
      </c>
      <c r="F28">
        <v>0</v>
      </c>
      <c r="G28">
        <v>0</v>
      </c>
      <c r="H28">
        <v>0</v>
      </c>
    </row>
    <row r="29" spans="1:8" x14ac:dyDescent="0.2">
      <c r="A29">
        <v>28</v>
      </c>
      <c r="B29">
        <v>0</v>
      </c>
      <c r="C29" s="11">
        <v>0</v>
      </c>
      <c r="D29">
        <v>0</v>
      </c>
      <c r="E29" s="11">
        <v>0</v>
      </c>
      <c r="F29">
        <v>0</v>
      </c>
      <c r="G29">
        <v>0</v>
      </c>
      <c r="H29">
        <v>0</v>
      </c>
    </row>
    <row r="30" spans="1:8" x14ac:dyDescent="0.2">
      <c r="A30">
        <v>29</v>
      </c>
      <c r="B30">
        <v>0</v>
      </c>
      <c r="C30" s="11">
        <v>0</v>
      </c>
      <c r="D30">
        <v>0</v>
      </c>
      <c r="E30" s="11">
        <v>0</v>
      </c>
      <c r="F30">
        <v>0</v>
      </c>
      <c r="G30">
        <v>0</v>
      </c>
      <c r="H30">
        <v>0</v>
      </c>
    </row>
    <row r="31" spans="1:8" x14ac:dyDescent="0.2">
      <c r="A31">
        <v>30</v>
      </c>
      <c r="B31">
        <v>0</v>
      </c>
      <c r="C31" s="11">
        <v>0</v>
      </c>
      <c r="D31">
        <v>0</v>
      </c>
      <c r="E31" s="11">
        <v>0</v>
      </c>
      <c r="F31">
        <v>0</v>
      </c>
      <c r="G31">
        <v>0</v>
      </c>
      <c r="H31">
        <v>0</v>
      </c>
    </row>
    <row r="32" spans="1:8" x14ac:dyDescent="0.2">
      <c r="A32">
        <v>31</v>
      </c>
      <c r="B32">
        <v>0</v>
      </c>
      <c r="C32" s="11">
        <v>0</v>
      </c>
      <c r="D32">
        <v>0</v>
      </c>
      <c r="E32" s="11">
        <v>0</v>
      </c>
      <c r="F32">
        <v>0</v>
      </c>
      <c r="G32">
        <v>0</v>
      </c>
      <c r="H32">
        <v>0</v>
      </c>
    </row>
    <row r="33" spans="1:8" x14ac:dyDescent="0.2">
      <c r="A33">
        <v>32</v>
      </c>
      <c r="B33">
        <v>0</v>
      </c>
      <c r="C33" s="11">
        <v>0</v>
      </c>
      <c r="D33">
        <v>0</v>
      </c>
      <c r="E33" s="11">
        <v>0</v>
      </c>
      <c r="F33">
        <v>0</v>
      </c>
      <c r="G33">
        <v>0</v>
      </c>
      <c r="H33">
        <v>0</v>
      </c>
    </row>
    <row r="34" spans="1:8" x14ac:dyDescent="0.2">
      <c r="A34">
        <v>33</v>
      </c>
      <c r="B34">
        <v>0</v>
      </c>
      <c r="C34" s="11">
        <v>0</v>
      </c>
      <c r="D34">
        <v>0</v>
      </c>
      <c r="E34" s="11">
        <v>0</v>
      </c>
      <c r="F34">
        <v>0</v>
      </c>
      <c r="G34">
        <v>0</v>
      </c>
      <c r="H34">
        <v>0</v>
      </c>
    </row>
    <row r="35" spans="1:8" x14ac:dyDescent="0.2">
      <c r="A35">
        <v>34</v>
      </c>
      <c r="B35">
        <v>0</v>
      </c>
      <c r="C35" s="11">
        <v>0</v>
      </c>
      <c r="D35">
        <v>0</v>
      </c>
      <c r="E35" s="11">
        <v>0</v>
      </c>
      <c r="F35">
        <v>0</v>
      </c>
      <c r="G35">
        <v>0</v>
      </c>
      <c r="H35">
        <v>0</v>
      </c>
    </row>
    <row r="36" spans="1:8" x14ac:dyDescent="0.2">
      <c r="A36">
        <v>35</v>
      </c>
      <c r="B36">
        <v>0</v>
      </c>
      <c r="C36" s="11">
        <v>0</v>
      </c>
      <c r="D36">
        <v>0</v>
      </c>
      <c r="E36" s="11">
        <v>0</v>
      </c>
      <c r="F36">
        <v>0</v>
      </c>
      <c r="G36">
        <v>0</v>
      </c>
      <c r="H36">
        <v>0</v>
      </c>
    </row>
    <row r="37" spans="1:8" x14ac:dyDescent="0.2">
      <c r="A37">
        <v>36</v>
      </c>
      <c r="B37">
        <v>0</v>
      </c>
      <c r="C37" s="11">
        <v>0</v>
      </c>
      <c r="D37">
        <v>0</v>
      </c>
      <c r="E37" s="11">
        <v>0</v>
      </c>
      <c r="F37">
        <v>0</v>
      </c>
      <c r="G37">
        <v>0</v>
      </c>
      <c r="H37">
        <v>0</v>
      </c>
    </row>
    <row r="38" spans="1:8" x14ac:dyDescent="0.2">
      <c r="A38">
        <v>37</v>
      </c>
      <c r="B38">
        <v>0</v>
      </c>
      <c r="C38" s="11">
        <v>0</v>
      </c>
      <c r="D38">
        <v>0</v>
      </c>
      <c r="E38" s="11">
        <v>0</v>
      </c>
      <c r="F38">
        <v>0</v>
      </c>
      <c r="G38">
        <v>0</v>
      </c>
      <c r="H38">
        <v>0</v>
      </c>
    </row>
    <row r="39" spans="1:8" x14ac:dyDescent="0.2">
      <c r="A39">
        <v>38</v>
      </c>
      <c r="B39">
        <v>0</v>
      </c>
      <c r="C39" s="11">
        <v>0</v>
      </c>
      <c r="D39">
        <v>0</v>
      </c>
      <c r="E39" s="11">
        <v>0</v>
      </c>
      <c r="F39">
        <v>0</v>
      </c>
      <c r="G39">
        <v>0</v>
      </c>
      <c r="H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5978-154D-1943-A6DC-F584AB49F5C2}">
  <dimension ref="A1:I38"/>
  <sheetViews>
    <sheetView tabSelected="1" workbookViewId="0">
      <selection activeCell="F3" sqref="F3"/>
    </sheetView>
  </sheetViews>
  <sheetFormatPr baseColWidth="10" defaultRowHeight="15" x14ac:dyDescent="0.2"/>
  <sheetData>
    <row r="1" spans="1:9" x14ac:dyDescent="0.2">
      <c r="A1" s="12" t="s">
        <v>133</v>
      </c>
      <c r="B1" s="12" t="s">
        <v>134</v>
      </c>
      <c r="C1" s="10" t="s">
        <v>135</v>
      </c>
      <c r="D1" s="10" t="s">
        <v>136</v>
      </c>
      <c r="E1" s="9" t="s">
        <v>137</v>
      </c>
      <c r="F1" s="10" t="s">
        <v>138</v>
      </c>
      <c r="G1" s="10" t="s">
        <v>139</v>
      </c>
      <c r="H1" s="9" t="s">
        <v>140</v>
      </c>
      <c r="I1" s="10"/>
    </row>
    <row r="2" spans="1:9" x14ac:dyDescent="0.2">
      <c r="A2">
        <v>24</v>
      </c>
      <c r="B2">
        <v>25</v>
      </c>
      <c r="C2">
        <v>1E-3</v>
      </c>
      <c r="D2">
        <v>5.0000000000000001E-4</v>
      </c>
      <c r="E2">
        <v>1.0000000000000001E-5</v>
      </c>
      <c r="F2">
        <f>C2*22*2/10</f>
        <v>4.3999999999999994E-3</v>
      </c>
      <c r="G2">
        <f>D2*22^2/10</f>
        <v>2.4199999999999999E-2</v>
      </c>
      <c r="H2">
        <f>E2*22^2/10</f>
        <v>4.8400000000000006E-4</v>
      </c>
    </row>
    <row r="3" spans="1:9" x14ac:dyDescent="0.2">
      <c r="A3">
        <v>25</v>
      </c>
      <c r="B3">
        <v>1</v>
      </c>
      <c r="C3">
        <v>1E-3</v>
      </c>
      <c r="D3">
        <v>5.0000000000000001E-4</v>
      </c>
      <c r="E3">
        <v>1.0000000000000001E-5</v>
      </c>
      <c r="F3">
        <f t="shared" ref="F3:F38" si="0">C3*22*2/10</f>
        <v>4.3999999999999994E-3</v>
      </c>
      <c r="G3">
        <f t="shared" ref="G3:G38" si="1">D3*22^2/10</f>
        <v>2.4199999999999999E-2</v>
      </c>
      <c r="H3">
        <f t="shared" ref="H3:H38" si="2">E3*22^2/10</f>
        <v>4.8400000000000006E-4</v>
      </c>
    </row>
    <row r="4" spans="1:9" x14ac:dyDescent="0.2">
      <c r="A4">
        <v>25</v>
      </c>
      <c r="B4">
        <v>2</v>
      </c>
      <c r="C4">
        <v>1E-3</v>
      </c>
      <c r="D4">
        <v>5.0000000000000001E-4</v>
      </c>
      <c r="E4">
        <v>1.0000000000000001E-5</v>
      </c>
      <c r="F4">
        <f t="shared" si="0"/>
        <v>4.3999999999999994E-3</v>
      </c>
      <c r="G4">
        <f t="shared" si="1"/>
        <v>2.4199999999999999E-2</v>
      </c>
      <c r="H4">
        <f t="shared" si="2"/>
        <v>4.8400000000000006E-4</v>
      </c>
    </row>
    <row r="5" spans="1:9" x14ac:dyDescent="0.2">
      <c r="A5">
        <v>25</v>
      </c>
      <c r="B5">
        <v>26</v>
      </c>
      <c r="C5">
        <v>1E-3</v>
      </c>
      <c r="D5">
        <v>5.0000000000000001E-4</v>
      </c>
      <c r="E5">
        <v>1.0000000000000001E-5</v>
      </c>
      <c r="F5">
        <f t="shared" si="0"/>
        <v>4.3999999999999994E-3</v>
      </c>
      <c r="G5">
        <f t="shared" si="1"/>
        <v>2.4199999999999999E-2</v>
      </c>
      <c r="H5">
        <f t="shared" si="2"/>
        <v>4.8400000000000006E-4</v>
      </c>
    </row>
    <row r="6" spans="1:9" x14ac:dyDescent="0.2">
      <c r="A6">
        <v>26</v>
      </c>
      <c r="B6">
        <v>3</v>
      </c>
      <c r="C6">
        <v>1E-3</v>
      </c>
      <c r="D6">
        <v>5.0000000000000001E-4</v>
      </c>
      <c r="E6">
        <v>1.0000000000000001E-5</v>
      </c>
      <c r="F6">
        <f t="shared" si="0"/>
        <v>4.3999999999999994E-3</v>
      </c>
      <c r="G6">
        <f t="shared" si="1"/>
        <v>2.4199999999999999E-2</v>
      </c>
      <c r="H6">
        <f t="shared" si="2"/>
        <v>4.8400000000000006E-4</v>
      </c>
    </row>
    <row r="7" spans="1:9" x14ac:dyDescent="0.2">
      <c r="A7">
        <v>26</v>
      </c>
      <c r="B7">
        <v>4</v>
      </c>
      <c r="C7">
        <v>1E-3</v>
      </c>
      <c r="D7">
        <v>5.0000000000000001E-4</v>
      </c>
      <c r="E7">
        <v>1.0000000000000001E-5</v>
      </c>
      <c r="F7">
        <f t="shared" si="0"/>
        <v>4.3999999999999994E-3</v>
      </c>
      <c r="G7">
        <f t="shared" si="1"/>
        <v>2.4199999999999999E-2</v>
      </c>
      <c r="H7">
        <f t="shared" si="2"/>
        <v>4.8400000000000006E-4</v>
      </c>
    </row>
    <row r="8" spans="1:9" x14ac:dyDescent="0.2">
      <c r="A8">
        <v>26</v>
      </c>
      <c r="B8">
        <v>27</v>
      </c>
      <c r="C8">
        <v>1E-3</v>
      </c>
      <c r="D8">
        <v>5.0000000000000001E-4</v>
      </c>
      <c r="E8">
        <v>1.0000000000000001E-5</v>
      </c>
      <c r="F8">
        <f t="shared" si="0"/>
        <v>4.3999999999999994E-3</v>
      </c>
      <c r="G8">
        <f t="shared" si="1"/>
        <v>2.4199999999999999E-2</v>
      </c>
      <c r="H8">
        <f t="shared" si="2"/>
        <v>4.8400000000000006E-4</v>
      </c>
    </row>
    <row r="9" spans="1:9" x14ac:dyDescent="0.2">
      <c r="A9">
        <v>27</v>
      </c>
      <c r="B9">
        <v>5</v>
      </c>
      <c r="C9">
        <v>1E-3</v>
      </c>
      <c r="D9">
        <v>5.0000000000000001E-4</v>
      </c>
      <c r="E9">
        <v>1.0000000000000001E-5</v>
      </c>
      <c r="F9">
        <f t="shared" si="0"/>
        <v>4.3999999999999994E-3</v>
      </c>
      <c r="G9">
        <f t="shared" si="1"/>
        <v>2.4199999999999999E-2</v>
      </c>
      <c r="H9">
        <f t="shared" si="2"/>
        <v>4.8400000000000006E-4</v>
      </c>
    </row>
    <row r="10" spans="1:9" x14ac:dyDescent="0.2">
      <c r="A10">
        <v>27</v>
      </c>
      <c r="B10">
        <v>6</v>
      </c>
      <c r="C10">
        <v>1E-3</v>
      </c>
      <c r="D10">
        <v>5.0000000000000001E-4</v>
      </c>
      <c r="E10">
        <v>1.0000000000000001E-5</v>
      </c>
      <c r="F10">
        <f t="shared" si="0"/>
        <v>4.3999999999999994E-3</v>
      </c>
      <c r="G10">
        <f t="shared" si="1"/>
        <v>2.4199999999999999E-2</v>
      </c>
      <c r="H10">
        <f t="shared" si="2"/>
        <v>4.8400000000000006E-4</v>
      </c>
    </row>
    <row r="11" spans="1:9" x14ac:dyDescent="0.2">
      <c r="A11">
        <v>27</v>
      </c>
      <c r="B11">
        <v>28</v>
      </c>
      <c r="C11">
        <v>1E-3</v>
      </c>
      <c r="D11">
        <v>5.0000000000000001E-4</v>
      </c>
      <c r="E11">
        <v>1.0000000000000001E-5</v>
      </c>
      <c r="F11">
        <f t="shared" si="0"/>
        <v>4.3999999999999994E-3</v>
      </c>
      <c r="G11">
        <f t="shared" si="1"/>
        <v>2.4199999999999999E-2</v>
      </c>
      <c r="H11">
        <f t="shared" si="2"/>
        <v>4.8400000000000006E-4</v>
      </c>
    </row>
    <row r="12" spans="1:9" x14ac:dyDescent="0.2">
      <c r="A12">
        <v>28</v>
      </c>
      <c r="B12">
        <v>7</v>
      </c>
      <c r="C12">
        <v>1E-3</v>
      </c>
      <c r="D12">
        <v>5.0000000000000001E-4</v>
      </c>
      <c r="E12">
        <v>1.0000000000000001E-5</v>
      </c>
      <c r="F12">
        <f t="shared" si="0"/>
        <v>4.3999999999999994E-3</v>
      </c>
      <c r="G12">
        <f t="shared" si="1"/>
        <v>2.4199999999999999E-2</v>
      </c>
      <c r="H12">
        <f t="shared" si="2"/>
        <v>4.8400000000000006E-4</v>
      </c>
    </row>
    <row r="13" spans="1:9" x14ac:dyDescent="0.2">
      <c r="A13">
        <v>24</v>
      </c>
      <c r="B13">
        <v>29</v>
      </c>
      <c r="C13">
        <v>1E-3</v>
      </c>
      <c r="D13">
        <v>5.0000000000000001E-4</v>
      </c>
      <c r="E13">
        <v>1.0000000000000001E-5</v>
      </c>
      <c r="F13">
        <f t="shared" si="0"/>
        <v>4.3999999999999994E-3</v>
      </c>
      <c r="G13">
        <f t="shared" si="1"/>
        <v>2.4199999999999999E-2</v>
      </c>
      <c r="H13">
        <f t="shared" si="2"/>
        <v>4.8400000000000006E-4</v>
      </c>
    </row>
    <row r="14" spans="1:9" x14ac:dyDescent="0.2">
      <c r="A14">
        <v>29</v>
      </c>
      <c r="B14">
        <v>8</v>
      </c>
      <c r="C14">
        <v>1E-3</v>
      </c>
      <c r="D14">
        <v>5.0000000000000001E-4</v>
      </c>
      <c r="E14">
        <v>1.0000000000000001E-5</v>
      </c>
      <c r="F14">
        <f t="shared" si="0"/>
        <v>4.3999999999999994E-3</v>
      </c>
      <c r="G14">
        <f t="shared" si="1"/>
        <v>2.4199999999999999E-2</v>
      </c>
      <c r="H14">
        <f t="shared" si="2"/>
        <v>4.8400000000000006E-4</v>
      </c>
    </row>
    <row r="15" spans="1:9" x14ac:dyDescent="0.2">
      <c r="A15">
        <v>29</v>
      </c>
      <c r="B15">
        <v>30</v>
      </c>
      <c r="C15">
        <v>1E-3</v>
      </c>
      <c r="D15">
        <v>5.0000000000000001E-4</v>
      </c>
      <c r="E15">
        <v>1.0000000000000001E-5</v>
      </c>
      <c r="F15">
        <f t="shared" si="0"/>
        <v>4.3999999999999994E-3</v>
      </c>
      <c r="G15">
        <f t="shared" si="1"/>
        <v>2.4199999999999999E-2</v>
      </c>
      <c r="H15">
        <f t="shared" si="2"/>
        <v>4.8400000000000006E-4</v>
      </c>
    </row>
    <row r="16" spans="1:9" x14ac:dyDescent="0.2">
      <c r="A16">
        <v>30</v>
      </c>
      <c r="B16">
        <v>9</v>
      </c>
      <c r="C16">
        <v>1E-3</v>
      </c>
      <c r="D16">
        <v>5.0000000000000001E-4</v>
      </c>
      <c r="E16">
        <v>1.0000000000000001E-5</v>
      </c>
      <c r="F16">
        <f t="shared" si="0"/>
        <v>4.3999999999999994E-3</v>
      </c>
      <c r="G16">
        <f t="shared" si="1"/>
        <v>2.4199999999999999E-2</v>
      </c>
      <c r="H16">
        <f t="shared" si="2"/>
        <v>4.8400000000000006E-4</v>
      </c>
    </row>
    <row r="17" spans="1:8" x14ac:dyDescent="0.2">
      <c r="A17">
        <v>24</v>
      </c>
      <c r="B17">
        <v>31</v>
      </c>
      <c r="C17">
        <v>1E-3</v>
      </c>
      <c r="D17">
        <v>5.0000000000000001E-4</v>
      </c>
      <c r="E17">
        <v>1.0000000000000001E-5</v>
      </c>
      <c r="F17">
        <f t="shared" si="0"/>
        <v>4.3999999999999994E-3</v>
      </c>
      <c r="G17">
        <f t="shared" si="1"/>
        <v>2.4199999999999999E-2</v>
      </c>
      <c r="H17">
        <f t="shared" si="2"/>
        <v>4.8400000000000006E-4</v>
      </c>
    </row>
    <row r="18" spans="1:8" x14ac:dyDescent="0.2">
      <c r="A18">
        <v>31</v>
      </c>
      <c r="B18">
        <v>10</v>
      </c>
      <c r="C18">
        <v>1E-3</v>
      </c>
      <c r="D18">
        <v>5.0000000000000001E-4</v>
      </c>
      <c r="E18">
        <v>1.0000000000000001E-5</v>
      </c>
      <c r="F18">
        <f t="shared" si="0"/>
        <v>4.3999999999999994E-3</v>
      </c>
      <c r="G18">
        <f t="shared" si="1"/>
        <v>2.4199999999999999E-2</v>
      </c>
      <c r="H18">
        <f t="shared" si="2"/>
        <v>4.8400000000000006E-4</v>
      </c>
    </row>
    <row r="19" spans="1:8" x14ac:dyDescent="0.2">
      <c r="A19">
        <v>31</v>
      </c>
      <c r="B19">
        <v>32</v>
      </c>
      <c r="C19">
        <v>1E-3</v>
      </c>
      <c r="D19">
        <v>5.0000000000000001E-4</v>
      </c>
      <c r="E19">
        <v>1.0000000000000001E-5</v>
      </c>
      <c r="F19">
        <f t="shared" si="0"/>
        <v>4.3999999999999994E-3</v>
      </c>
      <c r="G19">
        <f t="shared" si="1"/>
        <v>2.4199999999999999E-2</v>
      </c>
      <c r="H19">
        <f t="shared" si="2"/>
        <v>4.8400000000000006E-4</v>
      </c>
    </row>
    <row r="20" spans="1:8" x14ac:dyDescent="0.2">
      <c r="A20">
        <v>32</v>
      </c>
      <c r="B20">
        <v>11</v>
      </c>
      <c r="C20">
        <v>1E-3</v>
      </c>
      <c r="D20">
        <v>5.0000000000000001E-4</v>
      </c>
      <c r="E20">
        <v>1.0000000000000001E-5</v>
      </c>
      <c r="F20">
        <f t="shared" si="0"/>
        <v>4.3999999999999994E-3</v>
      </c>
      <c r="G20">
        <f t="shared" si="1"/>
        <v>2.4199999999999999E-2</v>
      </c>
      <c r="H20">
        <f t="shared" si="2"/>
        <v>4.8400000000000006E-4</v>
      </c>
    </row>
    <row r="21" spans="1:8" x14ac:dyDescent="0.2">
      <c r="A21">
        <v>32</v>
      </c>
      <c r="B21">
        <v>12</v>
      </c>
      <c r="C21">
        <v>1E-3</v>
      </c>
      <c r="D21">
        <v>5.0000000000000001E-4</v>
      </c>
      <c r="E21">
        <v>1.0000000000000001E-5</v>
      </c>
      <c r="F21">
        <f t="shared" si="0"/>
        <v>4.3999999999999994E-3</v>
      </c>
      <c r="G21">
        <f t="shared" si="1"/>
        <v>2.4199999999999999E-2</v>
      </c>
      <c r="H21">
        <f t="shared" si="2"/>
        <v>4.8400000000000006E-4</v>
      </c>
    </row>
    <row r="22" spans="1:8" x14ac:dyDescent="0.2">
      <c r="A22">
        <v>32</v>
      </c>
      <c r="B22">
        <v>33</v>
      </c>
      <c r="C22">
        <v>1E-3</v>
      </c>
      <c r="D22">
        <v>5.0000000000000001E-4</v>
      </c>
      <c r="E22">
        <v>1.0000000000000001E-5</v>
      </c>
      <c r="F22">
        <f t="shared" si="0"/>
        <v>4.3999999999999994E-3</v>
      </c>
      <c r="G22">
        <f t="shared" si="1"/>
        <v>2.4199999999999999E-2</v>
      </c>
      <c r="H22">
        <f t="shared" si="2"/>
        <v>4.8400000000000006E-4</v>
      </c>
    </row>
    <row r="23" spans="1:8" x14ac:dyDescent="0.2">
      <c r="A23">
        <v>33</v>
      </c>
      <c r="B23">
        <v>13</v>
      </c>
      <c r="C23">
        <v>1E-3</v>
      </c>
      <c r="D23">
        <v>5.0000000000000001E-4</v>
      </c>
      <c r="E23">
        <v>1.0000000000000001E-5</v>
      </c>
      <c r="F23">
        <f t="shared" si="0"/>
        <v>4.3999999999999994E-3</v>
      </c>
      <c r="G23">
        <f t="shared" si="1"/>
        <v>2.4199999999999999E-2</v>
      </c>
      <c r="H23">
        <f t="shared" si="2"/>
        <v>4.8400000000000006E-4</v>
      </c>
    </row>
    <row r="24" spans="1:8" x14ac:dyDescent="0.2">
      <c r="A24">
        <v>33</v>
      </c>
      <c r="B24">
        <v>14</v>
      </c>
      <c r="C24">
        <v>1E-3</v>
      </c>
      <c r="D24">
        <v>5.0000000000000001E-4</v>
      </c>
      <c r="E24">
        <v>1.0000000000000001E-5</v>
      </c>
      <c r="F24">
        <f t="shared" si="0"/>
        <v>4.3999999999999994E-3</v>
      </c>
      <c r="G24">
        <f t="shared" si="1"/>
        <v>2.4199999999999999E-2</v>
      </c>
      <c r="H24">
        <f t="shared" si="2"/>
        <v>4.8400000000000006E-4</v>
      </c>
    </row>
    <row r="25" spans="1:8" x14ac:dyDescent="0.2">
      <c r="A25">
        <v>33</v>
      </c>
      <c r="B25">
        <v>34</v>
      </c>
      <c r="C25">
        <v>1E-3</v>
      </c>
      <c r="D25">
        <v>5.0000000000000001E-4</v>
      </c>
      <c r="E25">
        <v>1.0000000000000001E-5</v>
      </c>
      <c r="F25">
        <f t="shared" si="0"/>
        <v>4.3999999999999994E-3</v>
      </c>
      <c r="G25">
        <f t="shared" si="1"/>
        <v>2.4199999999999999E-2</v>
      </c>
      <c r="H25">
        <f t="shared" si="2"/>
        <v>4.8400000000000006E-4</v>
      </c>
    </row>
    <row r="26" spans="1:8" x14ac:dyDescent="0.2">
      <c r="A26">
        <v>34</v>
      </c>
      <c r="B26">
        <v>15</v>
      </c>
      <c r="C26">
        <v>1E-3</v>
      </c>
      <c r="D26">
        <v>5.0000000000000001E-4</v>
      </c>
      <c r="E26">
        <v>1.0000000000000001E-5</v>
      </c>
      <c r="F26">
        <f t="shared" si="0"/>
        <v>4.3999999999999994E-3</v>
      </c>
      <c r="G26">
        <f t="shared" si="1"/>
        <v>2.4199999999999999E-2</v>
      </c>
      <c r="H26">
        <f t="shared" si="2"/>
        <v>4.8400000000000006E-4</v>
      </c>
    </row>
    <row r="27" spans="1:8" x14ac:dyDescent="0.2">
      <c r="A27">
        <v>24</v>
      </c>
      <c r="B27">
        <v>35</v>
      </c>
      <c r="C27">
        <v>1E-3</v>
      </c>
      <c r="D27">
        <v>5.0000000000000001E-4</v>
      </c>
      <c r="E27">
        <v>1.0000000000000001E-5</v>
      </c>
      <c r="F27">
        <f t="shared" si="0"/>
        <v>4.3999999999999994E-3</v>
      </c>
      <c r="G27">
        <f t="shared" si="1"/>
        <v>2.4199999999999999E-2</v>
      </c>
      <c r="H27">
        <f t="shared" si="2"/>
        <v>4.8400000000000006E-4</v>
      </c>
    </row>
    <row r="28" spans="1:8" x14ac:dyDescent="0.2">
      <c r="A28">
        <v>35</v>
      </c>
      <c r="B28">
        <v>16</v>
      </c>
      <c r="C28">
        <v>1E-3</v>
      </c>
      <c r="D28">
        <v>5.0000000000000001E-4</v>
      </c>
      <c r="E28">
        <v>1.0000000000000001E-5</v>
      </c>
      <c r="F28">
        <f t="shared" si="0"/>
        <v>4.3999999999999994E-3</v>
      </c>
      <c r="G28">
        <f t="shared" si="1"/>
        <v>2.4199999999999999E-2</v>
      </c>
      <c r="H28">
        <f t="shared" si="2"/>
        <v>4.8400000000000006E-4</v>
      </c>
    </row>
    <row r="29" spans="1:8" x14ac:dyDescent="0.2">
      <c r="A29">
        <v>35</v>
      </c>
      <c r="B29">
        <v>17</v>
      </c>
      <c r="C29">
        <v>1E-3</v>
      </c>
      <c r="D29">
        <v>5.0000000000000001E-4</v>
      </c>
      <c r="E29">
        <v>1.0000000000000001E-5</v>
      </c>
      <c r="F29">
        <f t="shared" si="0"/>
        <v>4.3999999999999994E-3</v>
      </c>
      <c r="G29">
        <f t="shared" si="1"/>
        <v>2.4199999999999999E-2</v>
      </c>
      <c r="H29">
        <f t="shared" si="2"/>
        <v>4.8400000000000006E-4</v>
      </c>
    </row>
    <row r="30" spans="1:8" x14ac:dyDescent="0.2">
      <c r="A30">
        <v>35</v>
      </c>
      <c r="B30">
        <v>36</v>
      </c>
      <c r="C30">
        <v>1E-3</v>
      </c>
      <c r="D30">
        <v>5.0000000000000001E-4</v>
      </c>
      <c r="E30">
        <v>1.0000000000000001E-5</v>
      </c>
      <c r="F30">
        <f t="shared" si="0"/>
        <v>4.3999999999999994E-3</v>
      </c>
      <c r="G30">
        <f t="shared" si="1"/>
        <v>2.4199999999999999E-2</v>
      </c>
      <c r="H30">
        <f t="shared" si="2"/>
        <v>4.8400000000000006E-4</v>
      </c>
    </row>
    <row r="31" spans="1:8" x14ac:dyDescent="0.2">
      <c r="A31">
        <v>36</v>
      </c>
      <c r="B31">
        <v>18</v>
      </c>
      <c r="C31">
        <v>1E-3</v>
      </c>
      <c r="D31">
        <v>5.0000000000000001E-4</v>
      </c>
      <c r="E31">
        <v>1.0000000000000001E-5</v>
      </c>
      <c r="F31">
        <f t="shared" si="0"/>
        <v>4.3999999999999994E-3</v>
      </c>
      <c r="G31">
        <f t="shared" si="1"/>
        <v>2.4199999999999999E-2</v>
      </c>
      <c r="H31">
        <f t="shared" si="2"/>
        <v>4.8400000000000006E-4</v>
      </c>
    </row>
    <row r="32" spans="1:8" x14ac:dyDescent="0.2">
      <c r="A32">
        <v>36</v>
      </c>
      <c r="B32">
        <v>19</v>
      </c>
      <c r="C32">
        <v>1E-3</v>
      </c>
      <c r="D32">
        <v>5.0000000000000001E-4</v>
      </c>
      <c r="E32">
        <v>1.0000000000000001E-5</v>
      </c>
      <c r="F32">
        <f t="shared" si="0"/>
        <v>4.3999999999999994E-3</v>
      </c>
      <c r="G32">
        <f t="shared" si="1"/>
        <v>2.4199999999999999E-2</v>
      </c>
      <c r="H32">
        <f t="shared" si="2"/>
        <v>4.8400000000000006E-4</v>
      </c>
    </row>
    <row r="33" spans="1:8" x14ac:dyDescent="0.2">
      <c r="A33">
        <v>36</v>
      </c>
      <c r="B33">
        <v>37</v>
      </c>
      <c r="C33">
        <v>1E-3</v>
      </c>
      <c r="D33">
        <v>5.0000000000000001E-4</v>
      </c>
      <c r="E33">
        <v>1.0000000000000001E-5</v>
      </c>
      <c r="F33">
        <f t="shared" si="0"/>
        <v>4.3999999999999994E-3</v>
      </c>
      <c r="G33">
        <f t="shared" si="1"/>
        <v>2.4199999999999999E-2</v>
      </c>
      <c r="H33">
        <f t="shared" si="2"/>
        <v>4.8400000000000006E-4</v>
      </c>
    </row>
    <row r="34" spans="1:8" x14ac:dyDescent="0.2">
      <c r="A34">
        <v>37</v>
      </c>
      <c r="B34">
        <v>20</v>
      </c>
      <c r="C34">
        <v>1E-3</v>
      </c>
      <c r="D34">
        <v>5.0000000000000001E-4</v>
      </c>
      <c r="E34">
        <v>1.0000000000000001E-5</v>
      </c>
      <c r="F34">
        <f t="shared" si="0"/>
        <v>4.3999999999999994E-3</v>
      </c>
      <c r="G34">
        <f t="shared" si="1"/>
        <v>2.4199999999999999E-2</v>
      </c>
      <c r="H34">
        <f t="shared" si="2"/>
        <v>4.8400000000000006E-4</v>
      </c>
    </row>
    <row r="35" spans="1:8" x14ac:dyDescent="0.2">
      <c r="A35">
        <v>37</v>
      </c>
      <c r="B35">
        <v>38</v>
      </c>
      <c r="C35">
        <v>1E-3</v>
      </c>
      <c r="D35">
        <v>5.0000000000000001E-4</v>
      </c>
      <c r="E35">
        <v>1.0000000000000001E-5</v>
      </c>
      <c r="F35">
        <f t="shared" si="0"/>
        <v>4.3999999999999994E-3</v>
      </c>
      <c r="G35">
        <f t="shared" si="1"/>
        <v>2.4199999999999999E-2</v>
      </c>
      <c r="H35">
        <f t="shared" si="2"/>
        <v>4.8400000000000006E-4</v>
      </c>
    </row>
    <row r="36" spans="1:8" x14ac:dyDescent="0.2">
      <c r="A36">
        <v>38</v>
      </c>
      <c r="B36">
        <v>21</v>
      </c>
      <c r="C36">
        <v>1E-3</v>
      </c>
      <c r="D36">
        <v>5.0000000000000001E-4</v>
      </c>
      <c r="E36">
        <v>1.0000000000000001E-5</v>
      </c>
      <c r="F36">
        <f t="shared" si="0"/>
        <v>4.3999999999999994E-3</v>
      </c>
      <c r="G36">
        <f t="shared" si="1"/>
        <v>2.4199999999999999E-2</v>
      </c>
      <c r="H36">
        <f t="shared" si="2"/>
        <v>4.8400000000000006E-4</v>
      </c>
    </row>
    <row r="37" spans="1:8" x14ac:dyDescent="0.2">
      <c r="A37">
        <v>38</v>
      </c>
      <c r="B37">
        <v>22</v>
      </c>
      <c r="C37">
        <v>1E-3</v>
      </c>
      <c r="D37">
        <v>5.0000000000000001E-4</v>
      </c>
      <c r="E37">
        <v>1.0000000000000001E-5</v>
      </c>
      <c r="F37">
        <f t="shared" si="0"/>
        <v>4.3999999999999994E-3</v>
      </c>
      <c r="G37">
        <f t="shared" si="1"/>
        <v>2.4199999999999999E-2</v>
      </c>
      <c r="H37">
        <f t="shared" si="2"/>
        <v>4.8400000000000006E-4</v>
      </c>
    </row>
    <row r="38" spans="1:8" x14ac:dyDescent="0.2">
      <c r="A38">
        <v>23</v>
      </c>
      <c r="B38">
        <v>24</v>
      </c>
      <c r="C38">
        <v>1E-3</v>
      </c>
      <c r="D38">
        <v>5.0000000000000001E-4</v>
      </c>
      <c r="E38">
        <v>1.0000000000000001E-5</v>
      </c>
      <c r="F38">
        <f t="shared" si="0"/>
        <v>4.3999999999999994E-3</v>
      </c>
      <c r="G38">
        <f t="shared" si="1"/>
        <v>2.4199999999999999E-2</v>
      </c>
      <c r="H38">
        <f t="shared" si="2"/>
        <v>4.8400000000000006E-4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9"/>
  <sheetViews>
    <sheetView workbookViewId="0">
      <selection activeCell="I30" sqref="I30"/>
    </sheetView>
  </sheetViews>
  <sheetFormatPr baseColWidth="10" defaultColWidth="8.83203125" defaultRowHeight="15" x14ac:dyDescent="0.2"/>
  <cols>
    <col min="1" max="1" width="12.5" bestFit="1" customWidth="1"/>
    <col min="2" max="2" width="24.5" bestFit="1" customWidth="1"/>
    <col min="3" max="3" width="28.1640625" style="8" bestFit="1" customWidth="1"/>
    <col min="4" max="4" width="14.5" style="6" bestFit="1" customWidth="1"/>
    <col min="5" max="5" width="29.5" style="2" bestFit="1" customWidth="1"/>
    <col min="6" max="6" width="17.5" customWidth="1"/>
    <col min="7" max="7" width="15.6640625" customWidth="1"/>
  </cols>
  <sheetData>
    <row r="1" spans="1:7" ht="17.25" customHeight="1" x14ac:dyDescent="0.2">
      <c r="B1" t="s">
        <v>31</v>
      </c>
      <c r="C1" s="7" t="s">
        <v>32</v>
      </c>
      <c r="D1" s="5" t="s">
        <v>33</v>
      </c>
      <c r="E1" s="1" t="s">
        <v>34</v>
      </c>
      <c r="F1" s="10" t="s">
        <v>141</v>
      </c>
      <c r="G1" s="10" t="s">
        <v>142</v>
      </c>
    </row>
    <row r="2" spans="1:7" ht="17.25" customHeight="1" x14ac:dyDescent="0.2">
      <c r="A2" t="s">
        <v>35</v>
      </c>
      <c r="B2" t="s">
        <v>36</v>
      </c>
      <c r="C2" s="7">
        <v>0.53500000000000003</v>
      </c>
      <c r="D2" s="5">
        <v>0.86680000000000001</v>
      </c>
      <c r="E2" s="1">
        <v>210</v>
      </c>
      <c r="F2">
        <v>1</v>
      </c>
      <c r="G2">
        <v>1</v>
      </c>
    </row>
    <row r="3" spans="1:7" ht="17.25" customHeight="1" x14ac:dyDescent="0.2">
      <c r="A3" t="s">
        <v>37</v>
      </c>
      <c r="B3" t="s">
        <v>36</v>
      </c>
      <c r="C3" s="7">
        <v>0.53500000000000003</v>
      </c>
      <c r="D3" s="5">
        <v>0.86680000000000001</v>
      </c>
      <c r="E3" s="1">
        <v>210</v>
      </c>
      <c r="F3">
        <v>1</v>
      </c>
      <c r="G3">
        <v>1</v>
      </c>
    </row>
    <row r="4" spans="1:7" ht="17.25" customHeight="1" x14ac:dyDescent="0.2">
      <c r="A4" t="s">
        <v>38</v>
      </c>
      <c r="B4" t="s">
        <v>36</v>
      </c>
      <c r="C4" s="7">
        <v>0.53500000000000003</v>
      </c>
      <c r="D4" s="5">
        <v>0.86680000000000001</v>
      </c>
      <c r="E4" s="1">
        <v>210</v>
      </c>
      <c r="F4">
        <v>1</v>
      </c>
      <c r="G4">
        <v>1</v>
      </c>
    </row>
    <row r="5" spans="1:7" ht="17.25" customHeight="1" x14ac:dyDescent="0.2">
      <c r="A5" t="s">
        <v>39</v>
      </c>
      <c r="B5" t="s">
        <v>40</v>
      </c>
      <c r="C5" s="7">
        <v>0.56599999999999995</v>
      </c>
      <c r="D5" s="5">
        <v>0.91669999999999996</v>
      </c>
      <c r="E5" s="1">
        <v>1</v>
      </c>
      <c r="F5">
        <v>1</v>
      </c>
      <c r="G5">
        <v>1</v>
      </c>
    </row>
    <row r="6" spans="1:7" ht="17.25" customHeight="1" x14ac:dyDescent="0.2">
      <c r="A6" t="s">
        <v>41</v>
      </c>
      <c r="B6" t="s">
        <v>40</v>
      </c>
      <c r="C6" s="7">
        <v>0.56599999999999995</v>
      </c>
      <c r="D6" s="5">
        <v>0.91669999999999996</v>
      </c>
      <c r="E6" s="1">
        <v>1</v>
      </c>
      <c r="F6">
        <v>1</v>
      </c>
      <c r="G6">
        <v>1</v>
      </c>
    </row>
    <row r="7" spans="1:7" ht="17.25" customHeight="1" x14ac:dyDescent="0.2">
      <c r="A7" t="s">
        <v>42</v>
      </c>
      <c r="B7" t="s">
        <v>43</v>
      </c>
      <c r="C7" s="7">
        <v>0.45400000000000001</v>
      </c>
      <c r="D7" s="5">
        <v>0.75</v>
      </c>
      <c r="E7" s="1">
        <v>10</v>
      </c>
      <c r="F7">
        <v>1</v>
      </c>
      <c r="G7">
        <v>1</v>
      </c>
    </row>
    <row r="8" spans="1:7" ht="17.25" customHeight="1" x14ac:dyDescent="0.2">
      <c r="A8" t="s">
        <v>44</v>
      </c>
      <c r="B8" t="s">
        <v>43</v>
      </c>
      <c r="C8" s="7">
        <v>0.45400000000000001</v>
      </c>
      <c r="D8" s="5">
        <v>0.75</v>
      </c>
      <c r="E8" s="1">
        <v>10</v>
      </c>
      <c r="F8">
        <v>1</v>
      </c>
      <c r="G8">
        <v>1</v>
      </c>
    </row>
    <row r="9" spans="1:7" ht="17.25" customHeight="1" x14ac:dyDescent="0.2">
      <c r="A9" t="s">
        <v>45</v>
      </c>
      <c r="B9" t="s">
        <v>46</v>
      </c>
      <c r="C9" s="7">
        <v>1</v>
      </c>
      <c r="D9" s="5">
        <v>1.6278999999999999</v>
      </c>
      <c r="E9" s="1">
        <v>1</v>
      </c>
      <c r="F9">
        <v>1</v>
      </c>
      <c r="G9">
        <v>1</v>
      </c>
    </row>
    <row r="10" spans="1:7" ht="17.25" customHeight="1" x14ac:dyDescent="0.2">
      <c r="A10" t="s">
        <v>47</v>
      </c>
      <c r="B10" t="s">
        <v>46</v>
      </c>
      <c r="C10" s="7">
        <v>1.1499999999999999</v>
      </c>
      <c r="D10" s="5">
        <v>1.8721000000000001</v>
      </c>
      <c r="E10" s="1">
        <v>1</v>
      </c>
      <c r="F10">
        <v>1</v>
      </c>
      <c r="G10">
        <v>1</v>
      </c>
    </row>
    <row r="11" spans="1:7" ht="17.25" customHeight="1" x14ac:dyDescent="0.2">
      <c r="A11" t="s">
        <v>48</v>
      </c>
      <c r="B11" t="s">
        <v>36</v>
      </c>
      <c r="C11" s="7">
        <v>0.53500000000000003</v>
      </c>
      <c r="D11" s="5">
        <v>0.86680000000000001</v>
      </c>
      <c r="E11" s="1">
        <v>210</v>
      </c>
      <c r="F11">
        <v>1</v>
      </c>
      <c r="G11">
        <v>1</v>
      </c>
    </row>
    <row r="12" spans="1:7" ht="17.25" customHeight="1" x14ac:dyDescent="0.2">
      <c r="A12" t="s">
        <v>49</v>
      </c>
      <c r="B12" t="s">
        <v>36</v>
      </c>
      <c r="C12" s="7">
        <v>0.53500000000000003</v>
      </c>
      <c r="D12" s="5">
        <v>0.86680000000000001</v>
      </c>
      <c r="E12" s="1">
        <v>210</v>
      </c>
      <c r="F12">
        <v>1</v>
      </c>
      <c r="G12">
        <v>1</v>
      </c>
    </row>
    <row r="13" spans="1:7" ht="17.25" customHeight="1" x14ac:dyDescent="0.2">
      <c r="A13" t="s">
        <v>50</v>
      </c>
      <c r="B13" t="s">
        <v>36</v>
      </c>
      <c r="C13" s="7">
        <v>0.45</v>
      </c>
      <c r="D13" s="5">
        <v>0.72909999999999997</v>
      </c>
      <c r="E13" s="1">
        <v>200</v>
      </c>
      <c r="F13">
        <v>1</v>
      </c>
      <c r="G13">
        <v>1</v>
      </c>
    </row>
    <row r="14" spans="1:7" ht="17.25" customHeight="1" x14ac:dyDescent="0.2">
      <c r="A14" t="s">
        <v>51</v>
      </c>
      <c r="B14" t="s">
        <v>40</v>
      </c>
      <c r="C14" s="7">
        <v>0.56599999999999995</v>
      </c>
      <c r="D14" s="5">
        <v>0.91669999999999996</v>
      </c>
      <c r="E14" s="1">
        <v>1</v>
      </c>
      <c r="F14">
        <v>1</v>
      </c>
      <c r="G14">
        <v>1</v>
      </c>
    </row>
    <row r="15" spans="1:7" ht="17.25" customHeight="1" x14ac:dyDescent="0.2">
      <c r="A15" t="s">
        <v>52</v>
      </c>
      <c r="B15" t="s">
        <v>40</v>
      </c>
      <c r="C15" s="7">
        <v>0.56599999999999995</v>
      </c>
      <c r="D15" s="5">
        <v>0.91669999999999996</v>
      </c>
      <c r="E15" s="1">
        <v>1</v>
      </c>
      <c r="F15">
        <v>1</v>
      </c>
      <c r="G15">
        <v>1</v>
      </c>
    </row>
    <row r="16" spans="1:7" ht="17.25" customHeight="1" x14ac:dyDescent="0.2">
      <c r="A16" t="s">
        <v>53</v>
      </c>
      <c r="B16" t="s">
        <v>43</v>
      </c>
      <c r="C16" s="7">
        <v>0.45400000000000001</v>
      </c>
      <c r="D16" s="5">
        <v>0.75</v>
      </c>
      <c r="E16" s="1">
        <v>10</v>
      </c>
      <c r="F16">
        <v>1</v>
      </c>
      <c r="G16">
        <v>1</v>
      </c>
    </row>
    <row r="17" spans="1:7" ht="17.25" customHeight="1" x14ac:dyDescent="0.2">
      <c r="A17" t="s">
        <v>54</v>
      </c>
      <c r="B17" t="s">
        <v>43</v>
      </c>
      <c r="C17" s="7">
        <v>0.45400000000000001</v>
      </c>
      <c r="D17" s="5">
        <v>0.75</v>
      </c>
      <c r="E17" s="1">
        <v>10</v>
      </c>
      <c r="F17">
        <v>1</v>
      </c>
      <c r="G17">
        <v>1</v>
      </c>
    </row>
    <row r="18" spans="1:7" ht="17.25" customHeight="1" x14ac:dyDescent="0.2">
      <c r="A18" t="s">
        <v>55</v>
      </c>
      <c r="B18" t="s">
        <v>36</v>
      </c>
      <c r="C18" s="7">
        <v>0.45</v>
      </c>
      <c r="D18" s="5">
        <v>0.72909999999999997</v>
      </c>
      <c r="E18" s="1">
        <v>200</v>
      </c>
      <c r="F18">
        <v>1</v>
      </c>
      <c r="G18">
        <v>1</v>
      </c>
    </row>
    <row r="19" spans="1:7" ht="17.25" customHeight="1" x14ac:dyDescent="0.2">
      <c r="A19" t="s">
        <v>56</v>
      </c>
      <c r="B19" t="s">
        <v>36</v>
      </c>
      <c r="C19" s="7">
        <v>0.45</v>
      </c>
      <c r="D19" s="5">
        <v>0.72909999999999997</v>
      </c>
      <c r="E19" s="1">
        <v>200</v>
      </c>
      <c r="F19">
        <v>1</v>
      </c>
      <c r="G19">
        <v>1</v>
      </c>
    </row>
    <row r="20" spans="1:7" ht="17.25" customHeight="1" x14ac:dyDescent="0.2">
      <c r="A20" t="s">
        <v>57</v>
      </c>
      <c r="B20" t="s">
        <v>36</v>
      </c>
      <c r="C20" s="7">
        <v>0.45</v>
      </c>
      <c r="D20" s="5">
        <v>0.72909999999999997</v>
      </c>
      <c r="E20" s="1">
        <v>200</v>
      </c>
      <c r="F20">
        <v>1</v>
      </c>
      <c r="G20">
        <v>1</v>
      </c>
    </row>
    <row r="21" spans="1:7" ht="17.25" customHeight="1" x14ac:dyDescent="0.2">
      <c r="A21" t="s">
        <v>58</v>
      </c>
      <c r="B21" t="s">
        <v>40</v>
      </c>
      <c r="C21" s="7">
        <v>0.56599999999999995</v>
      </c>
      <c r="D21" s="5">
        <v>0.91669999999999996</v>
      </c>
      <c r="E21" s="1">
        <v>1</v>
      </c>
      <c r="F21">
        <v>1</v>
      </c>
      <c r="G21">
        <v>1</v>
      </c>
    </row>
    <row r="22" spans="1:7" ht="17.25" customHeight="1" x14ac:dyDescent="0.2">
      <c r="A22" t="s">
        <v>59</v>
      </c>
      <c r="B22" t="s">
        <v>40</v>
      </c>
      <c r="C22" s="7">
        <v>0.56599999999999995</v>
      </c>
      <c r="D22" s="5">
        <v>0.91669999999999996</v>
      </c>
      <c r="E22" s="1">
        <v>1</v>
      </c>
      <c r="F22">
        <v>1</v>
      </c>
      <c r="G22">
        <v>1</v>
      </c>
    </row>
    <row r="23" spans="1:7" ht="17.25" customHeight="1" x14ac:dyDescent="0.2">
      <c r="A23" t="s">
        <v>60</v>
      </c>
      <c r="B23" t="s">
        <v>43</v>
      </c>
      <c r="C23" s="7">
        <v>0.45400000000000001</v>
      </c>
      <c r="D23" s="5">
        <v>0.75</v>
      </c>
      <c r="E23" s="1">
        <v>10</v>
      </c>
      <c r="F23">
        <v>1</v>
      </c>
      <c r="G23">
        <v>1</v>
      </c>
    </row>
    <row r="24" spans="1:7" x14ac:dyDescent="0.2">
      <c r="A24" t="s">
        <v>109</v>
      </c>
      <c r="B24" t="s">
        <v>43</v>
      </c>
      <c r="C24" s="8">
        <v>0</v>
      </c>
      <c r="D24" s="6">
        <v>0</v>
      </c>
      <c r="E24" s="2">
        <v>0</v>
      </c>
      <c r="F24">
        <v>1</v>
      </c>
      <c r="G24">
        <v>1</v>
      </c>
    </row>
    <row r="25" spans="1:7" x14ac:dyDescent="0.2">
      <c r="A25" t="s">
        <v>110</v>
      </c>
      <c r="B25" t="s">
        <v>43</v>
      </c>
      <c r="C25" s="8">
        <v>0</v>
      </c>
      <c r="D25" s="6">
        <v>0</v>
      </c>
      <c r="E25" s="2">
        <v>0</v>
      </c>
      <c r="F25">
        <v>1</v>
      </c>
      <c r="G25">
        <v>1</v>
      </c>
    </row>
    <row r="26" spans="1:7" x14ac:dyDescent="0.2">
      <c r="A26" t="s">
        <v>111</v>
      </c>
      <c r="B26" t="s">
        <v>43</v>
      </c>
      <c r="C26" s="8">
        <v>0</v>
      </c>
      <c r="D26" s="6">
        <v>0</v>
      </c>
      <c r="E26" s="2">
        <v>0</v>
      </c>
      <c r="F26">
        <v>1</v>
      </c>
      <c r="G26">
        <v>1</v>
      </c>
    </row>
    <row r="27" spans="1:7" x14ac:dyDescent="0.2">
      <c r="A27" t="s">
        <v>112</v>
      </c>
      <c r="B27" t="s">
        <v>43</v>
      </c>
      <c r="C27" s="8">
        <v>0</v>
      </c>
      <c r="D27" s="6">
        <v>0</v>
      </c>
      <c r="E27" s="2">
        <v>0</v>
      </c>
      <c r="F27">
        <v>1</v>
      </c>
      <c r="G27">
        <v>1</v>
      </c>
    </row>
    <row r="28" spans="1:7" x14ac:dyDescent="0.2">
      <c r="A28" t="s">
        <v>113</v>
      </c>
      <c r="B28" t="s">
        <v>43</v>
      </c>
      <c r="C28" s="8">
        <v>0</v>
      </c>
      <c r="D28" s="6">
        <v>0</v>
      </c>
      <c r="E28" s="2">
        <v>0</v>
      </c>
      <c r="F28">
        <v>1</v>
      </c>
      <c r="G28">
        <v>1</v>
      </c>
    </row>
    <row r="29" spans="1:7" x14ac:dyDescent="0.2">
      <c r="A29" t="s">
        <v>114</v>
      </c>
      <c r="B29" t="s">
        <v>43</v>
      </c>
      <c r="C29" s="8">
        <v>0</v>
      </c>
      <c r="D29" s="6">
        <v>0</v>
      </c>
      <c r="E29" s="2">
        <v>0</v>
      </c>
      <c r="F29">
        <v>1</v>
      </c>
      <c r="G29">
        <v>1</v>
      </c>
    </row>
    <row r="30" spans="1:7" x14ac:dyDescent="0.2">
      <c r="A30" t="s">
        <v>115</v>
      </c>
      <c r="B30" t="s">
        <v>43</v>
      </c>
      <c r="C30" s="8">
        <v>0</v>
      </c>
      <c r="D30" s="6">
        <v>0</v>
      </c>
      <c r="E30" s="2">
        <v>0</v>
      </c>
      <c r="F30">
        <v>1</v>
      </c>
      <c r="G30">
        <v>1</v>
      </c>
    </row>
    <row r="31" spans="1:7" x14ac:dyDescent="0.2">
      <c r="A31" t="s">
        <v>116</v>
      </c>
      <c r="B31" t="s">
        <v>43</v>
      </c>
      <c r="C31" s="8">
        <v>0</v>
      </c>
      <c r="D31" s="6">
        <v>0</v>
      </c>
      <c r="E31" s="2">
        <v>0</v>
      </c>
      <c r="F31">
        <v>1</v>
      </c>
      <c r="G31">
        <v>1</v>
      </c>
    </row>
    <row r="32" spans="1:7" x14ac:dyDescent="0.2">
      <c r="A32" t="s">
        <v>117</v>
      </c>
      <c r="B32" t="s">
        <v>43</v>
      </c>
      <c r="C32" s="8">
        <v>0</v>
      </c>
      <c r="D32" s="6">
        <v>0</v>
      </c>
      <c r="E32" s="2">
        <v>0</v>
      </c>
      <c r="F32">
        <v>1</v>
      </c>
      <c r="G32">
        <v>1</v>
      </c>
    </row>
    <row r="33" spans="1:7" x14ac:dyDescent="0.2">
      <c r="A33" t="s">
        <v>118</v>
      </c>
      <c r="B33" t="s">
        <v>43</v>
      </c>
      <c r="C33" s="8">
        <v>0</v>
      </c>
      <c r="D33" s="6">
        <v>0</v>
      </c>
      <c r="E33" s="2">
        <v>0</v>
      </c>
      <c r="F33">
        <v>1</v>
      </c>
      <c r="G33">
        <v>1</v>
      </c>
    </row>
    <row r="34" spans="1:7" x14ac:dyDescent="0.2">
      <c r="A34" t="s">
        <v>119</v>
      </c>
      <c r="B34" t="s">
        <v>43</v>
      </c>
      <c r="C34" s="8">
        <v>0</v>
      </c>
      <c r="D34" s="6">
        <v>0</v>
      </c>
      <c r="E34" s="2">
        <v>0</v>
      </c>
      <c r="F34">
        <v>1</v>
      </c>
      <c r="G34">
        <v>1</v>
      </c>
    </row>
    <row r="35" spans="1:7" x14ac:dyDescent="0.2">
      <c r="A35" t="s">
        <v>120</v>
      </c>
      <c r="B35" t="s">
        <v>43</v>
      </c>
      <c r="C35" s="8">
        <v>0</v>
      </c>
      <c r="D35" s="6">
        <v>0</v>
      </c>
      <c r="E35" s="2">
        <v>0</v>
      </c>
      <c r="F35">
        <v>1</v>
      </c>
      <c r="G35">
        <v>1</v>
      </c>
    </row>
    <row r="36" spans="1:7" x14ac:dyDescent="0.2">
      <c r="A36" t="s">
        <v>121</v>
      </c>
      <c r="B36" t="s">
        <v>43</v>
      </c>
      <c r="C36" s="8">
        <v>0</v>
      </c>
      <c r="D36" s="6">
        <v>0</v>
      </c>
      <c r="E36" s="2">
        <v>0</v>
      </c>
      <c r="F36">
        <v>1</v>
      </c>
      <c r="G36">
        <v>1</v>
      </c>
    </row>
    <row r="37" spans="1:7" x14ac:dyDescent="0.2">
      <c r="A37" t="s">
        <v>122</v>
      </c>
      <c r="B37" t="s">
        <v>43</v>
      </c>
      <c r="C37" s="8">
        <v>0</v>
      </c>
      <c r="D37" s="6">
        <v>0</v>
      </c>
      <c r="E37" s="2">
        <v>0</v>
      </c>
      <c r="F37">
        <v>1</v>
      </c>
      <c r="G37">
        <v>1</v>
      </c>
    </row>
    <row r="38" spans="1:7" x14ac:dyDescent="0.2">
      <c r="A38" t="s">
        <v>123</v>
      </c>
      <c r="B38" t="s">
        <v>43</v>
      </c>
      <c r="C38" s="8">
        <v>0</v>
      </c>
      <c r="D38" s="6">
        <v>0</v>
      </c>
      <c r="E38" s="2">
        <v>0</v>
      </c>
      <c r="F38">
        <v>1</v>
      </c>
      <c r="G38">
        <v>1</v>
      </c>
    </row>
    <row r="39" spans="1:7" x14ac:dyDescent="0.2">
      <c r="A39" t="s">
        <v>124</v>
      </c>
      <c r="B39" t="s">
        <v>43</v>
      </c>
      <c r="C39" s="8">
        <v>0</v>
      </c>
      <c r="D39" s="6">
        <v>0</v>
      </c>
      <c r="E39" s="2">
        <v>0</v>
      </c>
      <c r="F39">
        <v>1</v>
      </c>
      <c r="G39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2"/>
  <sheetViews>
    <sheetView workbookViewId="0"/>
  </sheetViews>
  <sheetFormatPr baseColWidth="10" defaultColWidth="8.83203125" defaultRowHeight="15" x14ac:dyDescent="0.2"/>
  <cols>
    <col min="1" max="5" width="12.5" bestFit="1" customWidth="1"/>
  </cols>
  <sheetData>
    <row r="1" spans="1:5" ht="17.25" customHeight="1" x14ac:dyDescent="0.2">
      <c r="B1" t="s">
        <v>24</v>
      </c>
      <c r="C1" t="s">
        <v>25</v>
      </c>
      <c r="D1" t="s">
        <v>26</v>
      </c>
      <c r="E1" t="s">
        <v>27</v>
      </c>
    </row>
    <row r="2" spans="1:5" ht="17.25" customHeight="1" x14ac:dyDescent="0.2">
      <c r="A2" t="s">
        <v>28</v>
      </c>
      <c r="B2" t="s">
        <v>29</v>
      </c>
      <c r="C2" t="s">
        <v>29</v>
      </c>
      <c r="D2" t="s">
        <v>29</v>
      </c>
      <c r="E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3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2" bestFit="1" customWidth="1"/>
  </cols>
  <sheetData>
    <row r="1" spans="1:4" ht="18.75" customHeight="1" x14ac:dyDescent="0.2">
      <c r="B1" t="s">
        <v>16</v>
      </c>
      <c r="C1" t="s">
        <v>17</v>
      </c>
      <c r="D1" s="1" t="s">
        <v>13</v>
      </c>
    </row>
    <row r="2" spans="1:4" ht="18.75" customHeight="1" x14ac:dyDescent="0.2">
      <c r="A2" t="s">
        <v>18</v>
      </c>
      <c r="B2" t="s">
        <v>19</v>
      </c>
      <c r="C2" t="s">
        <v>20</v>
      </c>
      <c r="D2" s="1">
        <v>1</v>
      </c>
    </row>
    <row r="3" spans="1:4" ht="18.75" customHeight="1" x14ac:dyDescent="0.2">
      <c r="A3" t="s">
        <v>21</v>
      </c>
      <c r="B3" t="s">
        <v>22</v>
      </c>
      <c r="C3" t="s">
        <v>23</v>
      </c>
      <c r="D3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38"/>
  <sheetViews>
    <sheetView zoomScale="111" workbookViewId="0">
      <selection activeCell="G1" sqref="G1"/>
    </sheetView>
  </sheetViews>
  <sheetFormatPr baseColWidth="10" defaultColWidth="8.83203125" defaultRowHeight="15" x14ac:dyDescent="0.2"/>
  <cols>
    <col min="1" max="1" width="12.5" bestFit="1" customWidth="1"/>
    <col min="2" max="2" width="12.5" style="6" bestFit="1" customWidth="1"/>
    <col min="3" max="4" width="12.5" style="2" bestFit="1" customWidth="1"/>
    <col min="5" max="5" width="20" customWidth="1"/>
    <col min="6" max="6" width="17.6640625" customWidth="1"/>
  </cols>
  <sheetData>
    <row r="1" spans="1:6" ht="17.25" customHeight="1" x14ac:dyDescent="0.2">
      <c r="A1" t="s">
        <v>10</v>
      </c>
      <c r="B1" s="5" t="s">
        <v>11</v>
      </c>
      <c r="C1" s="1" t="s">
        <v>12</v>
      </c>
      <c r="D1" s="1" t="s">
        <v>13</v>
      </c>
      <c r="E1" t="s">
        <v>184</v>
      </c>
      <c r="F1" t="s">
        <v>183</v>
      </c>
    </row>
    <row r="2" spans="1:6" ht="17.25" customHeight="1" x14ac:dyDescent="0.2">
      <c r="A2" t="s">
        <v>143</v>
      </c>
      <c r="B2" s="5">
        <v>6.5000000000000002E-2</v>
      </c>
      <c r="C2" s="1">
        <v>5</v>
      </c>
      <c r="D2" s="1">
        <v>1</v>
      </c>
      <c r="E2" s="5">
        <v>0</v>
      </c>
      <c r="F2" s="1">
        <v>0</v>
      </c>
    </row>
    <row r="3" spans="1:6" ht="17.25" customHeight="1" x14ac:dyDescent="0.2">
      <c r="A3" t="s">
        <v>144</v>
      </c>
      <c r="B3" s="5">
        <v>6.5000000000000002E-2</v>
      </c>
      <c r="C3" s="1">
        <v>5</v>
      </c>
      <c r="D3" s="1">
        <v>1</v>
      </c>
      <c r="E3" s="5">
        <v>1.4999999999999999E-2</v>
      </c>
      <c r="F3" s="1">
        <v>200</v>
      </c>
    </row>
    <row r="4" spans="1:6" ht="17.25" customHeight="1" x14ac:dyDescent="0.2">
      <c r="A4" t="s">
        <v>145</v>
      </c>
      <c r="B4" s="5">
        <v>6.5000000000000002E-2</v>
      </c>
      <c r="C4" s="1">
        <v>5</v>
      </c>
      <c r="D4" s="1">
        <v>1</v>
      </c>
      <c r="E4" s="5">
        <v>1.4999999999999999E-2</v>
      </c>
      <c r="F4" s="1">
        <v>200</v>
      </c>
    </row>
    <row r="5" spans="1:6" ht="17.25" customHeight="1" x14ac:dyDescent="0.2">
      <c r="A5" t="s">
        <v>146</v>
      </c>
      <c r="B5" s="5">
        <v>6.5000000000000002E-2</v>
      </c>
      <c r="C5" s="1">
        <v>5</v>
      </c>
      <c r="D5" s="1">
        <v>1</v>
      </c>
      <c r="E5" s="5">
        <v>0</v>
      </c>
      <c r="F5" s="1">
        <v>0</v>
      </c>
    </row>
    <row r="6" spans="1:6" ht="17.25" customHeight="1" x14ac:dyDescent="0.2">
      <c r="A6" t="s">
        <v>147</v>
      </c>
      <c r="B6" s="5">
        <v>6.5000000000000002E-2</v>
      </c>
      <c r="C6" s="1">
        <v>5</v>
      </c>
      <c r="D6" s="1">
        <v>1</v>
      </c>
      <c r="E6" s="5">
        <v>1.4999999999999999E-2</v>
      </c>
      <c r="F6" s="1">
        <v>200</v>
      </c>
    </row>
    <row r="7" spans="1:6" ht="17.25" customHeight="1" x14ac:dyDescent="0.2">
      <c r="A7" t="s">
        <v>148</v>
      </c>
      <c r="B7" s="5">
        <v>6.5000000000000002E-2</v>
      </c>
      <c r="C7" s="1">
        <v>5</v>
      </c>
      <c r="D7" s="1">
        <v>1</v>
      </c>
      <c r="E7" s="5">
        <v>1.4999999999999999E-2</v>
      </c>
      <c r="F7" s="1">
        <v>200</v>
      </c>
    </row>
    <row r="8" spans="1:6" ht="17.25" customHeight="1" x14ac:dyDescent="0.2">
      <c r="A8" t="s">
        <v>149</v>
      </c>
      <c r="B8" s="5">
        <v>6.5000000000000002E-2</v>
      </c>
      <c r="C8" s="1">
        <v>5</v>
      </c>
      <c r="D8" s="1">
        <v>1</v>
      </c>
      <c r="E8" s="5">
        <v>0</v>
      </c>
      <c r="F8" s="1">
        <v>0</v>
      </c>
    </row>
    <row r="9" spans="1:6" ht="17.25" customHeight="1" x14ac:dyDescent="0.2">
      <c r="A9" t="s">
        <v>150</v>
      </c>
      <c r="B9" s="5">
        <v>6.5000000000000002E-2</v>
      </c>
      <c r="C9" s="1">
        <v>5</v>
      </c>
      <c r="D9" s="1">
        <v>1</v>
      </c>
      <c r="E9" s="5">
        <v>1.4999999999999999E-2</v>
      </c>
      <c r="F9" s="1">
        <v>200</v>
      </c>
    </row>
    <row r="10" spans="1:6" ht="17.25" customHeight="1" x14ac:dyDescent="0.2">
      <c r="A10" t="s">
        <v>151</v>
      </c>
      <c r="B10" s="5">
        <v>6.5000000000000002E-2</v>
      </c>
      <c r="C10" s="1">
        <v>5</v>
      </c>
      <c r="D10" s="1">
        <v>1</v>
      </c>
      <c r="E10" s="5">
        <v>1.4999999999999999E-2</v>
      </c>
      <c r="F10" s="1">
        <v>200</v>
      </c>
    </row>
    <row r="11" spans="1:6" ht="17.25" customHeight="1" x14ac:dyDescent="0.2">
      <c r="A11" t="s">
        <v>152</v>
      </c>
      <c r="B11" s="5">
        <v>6.5000000000000002E-2</v>
      </c>
      <c r="C11" s="1">
        <v>5</v>
      </c>
      <c r="D11" s="1">
        <v>1</v>
      </c>
      <c r="E11" s="5">
        <v>0</v>
      </c>
      <c r="F11" s="1">
        <v>0</v>
      </c>
    </row>
    <row r="12" spans="1:6" ht="17.25" customHeight="1" x14ac:dyDescent="0.2">
      <c r="A12" t="s">
        <v>153</v>
      </c>
      <c r="B12" s="5">
        <v>6.5000000000000002E-2</v>
      </c>
      <c r="C12" s="1">
        <v>5</v>
      </c>
      <c r="D12" s="1">
        <v>1</v>
      </c>
      <c r="E12" s="5">
        <v>1.4999999999999999E-2</v>
      </c>
      <c r="F12" s="1">
        <v>200</v>
      </c>
    </row>
    <row r="13" spans="1:6" x14ac:dyDescent="0.2">
      <c r="A13" t="s">
        <v>154</v>
      </c>
      <c r="B13" s="5">
        <v>6.5000000000000002E-2</v>
      </c>
      <c r="C13" s="1">
        <v>5</v>
      </c>
      <c r="D13" s="1">
        <v>1</v>
      </c>
      <c r="E13" s="5">
        <v>0</v>
      </c>
      <c r="F13" s="1">
        <v>0</v>
      </c>
    </row>
    <row r="14" spans="1:6" x14ac:dyDescent="0.2">
      <c r="A14" t="s">
        <v>155</v>
      </c>
      <c r="B14" s="5">
        <v>6.5000000000000002E-2</v>
      </c>
      <c r="C14" s="1">
        <v>5</v>
      </c>
      <c r="D14" s="1">
        <v>1</v>
      </c>
      <c r="E14" s="5">
        <v>0</v>
      </c>
      <c r="F14" s="1">
        <v>0</v>
      </c>
    </row>
    <row r="15" spans="1:6" x14ac:dyDescent="0.2">
      <c r="A15" t="s">
        <v>156</v>
      </c>
      <c r="B15" s="5">
        <v>6.5000000000000002E-2</v>
      </c>
      <c r="C15" s="1">
        <v>5</v>
      </c>
      <c r="D15" s="1">
        <v>1</v>
      </c>
      <c r="E15" s="5">
        <v>0</v>
      </c>
      <c r="F15" s="1">
        <v>0</v>
      </c>
    </row>
    <row r="16" spans="1:6" x14ac:dyDescent="0.2">
      <c r="A16" t="s">
        <v>157</v>
      </c>
      <c r="B16" s="5">
        <v>6.5000000000000002E-2</v>
      </c>
      <c r="C16" s="1">
        <v>5</v>
      </c>
      <c r="D16" s="1">
        <v>1</v>
      </c>
      <c r="E16" s="5">
        <v>0</v>
      </c>
      <c r="F16" s="1">
        <v>0</v>
      </c>
    </row>
    <row r="17" spans="1:6" x14ac:dyDescent="0.2">
      <c r="A17" t="s">
        <v>158</v>
      </c>
      <c r="B17" s="5">
        <v>6.5000000000000002E-2</v>
      </c>
      <c r="C17" s="1">
        <v>5</v>
      </c>
      <c r="D17" s="1">
        <v>1</v>
      </c>
      <c r="E17" s="5">
        <v>0</v>
      </c>
      <c r="F17" s="1">
        <v>0</v>
      </c>
    </row>
    <row r="18" spans="1:6" x14ac:dyDescent="0.2">
      <c r="A18" t="s">
        <v>159</v>
      </c>
      <c r="B18" s="5">
        <v>6.5000000000000002E-2</v>
      </c>
      <c r="C18" s="1">
        <v>5</v>
      </c>
      <c r="D18" s="1">
        <v>1</v>
      </c>
      <c r="E18" s="5">
        <v>1.4999999999999999E-2</v>
      </c>
      <c r="F18" s="1">
        <v>200</v>
      </c>
    </row>
    <row r="19" spans="1:6" x14ac:dyDescent="0.2">
      <c r="A19" t="s">
        <v>160</v>
      </c>
      <c r="B19" s="5">
        <v>6.5000000000000002E-2</v>
      </c>
      <c r="C19" s="1">
        <v>5</v>
      </c>
      <c r="D19" s="1">
        <v>1</v>
      </c>
      <c r="E19" s="5">
        <v>0</v>
      </c>
      <c r="F19" s="1">
        <v>0</v>
      </c>
    </row>
    <row r="20" spans="1:6" x14ac:dyDescent="0.2">
      <c r="A20" t="s">
        <v>161</v>
      </c>
      <c r="B20" s="5">
        <v>6.5000000000000002E-2</v>
      </c>
      <c r="C20" s="1">
        <v>5</v>
      </c>
      <c r="D20" s="1">
        <v>1</v>
      </c>
      <c r="E20" s="5">
        <v>1.4999999999999999E-2</v>
      </c>
      <c r="F20" s="1">
        <v>200</v>
      </c>
    </row>
    <row r="21" spans="1:6" x14ac:dyDescent="0.2">
      <c r="A21" t="s">
        <v>162</v>
      </c>
      <c r="B21" s="5">
        <v>6.5000000000000002E-2</v>
      </c>
      <c r="C21" s="1">
        <v>5</v>
      </c>
      <c r="D21" s="1">
        <v>1</v>
      </c>
      <c r="E21" s="5">
        <v>1.4999999999999999E-2</v>
      </c>
      <c r="F21" s="1">
        <v>200</v>
      </c>
    </row>
    <row r="22" spans="1:6" x14ac:dyDescent="0.2">
      <c r="A22" t="s">
        <v>163</v>
      </c>
      <c r="B22" s="5">
        <v>6.5000000000000002E-2</v>
      </c>
      <c r="C22" s="1">
        <v>5</v>
      </c>
      <c r="D22" s="1">
        <v>1</v>
      </c>
      <c r="E22" s="5">
        <v>0</v>
      </c>
      <c r="F22" s="1">
        <v>0</v>
      </c>
    </row>
    <row r="23" spans="1:6" x14ac:dyDescent="0.2">
      <c r="A23" t="s">
        <v>164</v>
      </c>
      <c r="B23" s="5">
        <v>6.5000000000000002E-2</v>
      </c>
      <c r="C23" s="1">
        <v>5</v>
      </c>
      <c r="D23" s="1">
        <v>1</v>
      </c>
      <c r="E23" s="5">
        <v>1.4999999999999999E-2</v>
      </c>
      <c r="F23" s="1">
        <v>200</v>
      </c>
    </row>
    <row r="24" spans="1:6" x14ac:dyDescent="0.2">
      <c r="A24" t="s">
        <v>165</v>
      </c>
      <c r="B24" s="5">
        <v>6.5000000000000002E-2</v>
      </c>
      <c r="C24" s="1">
        <v>5</v>
      </c>
      <c r="D24" s="1">
        <v>1</v>
      </c>
      <c r="E24" s="5">
        <v>1.4999999999999999E-2</v>
      </c>
      <c r="F24" s="1">
        <v>200</v>
      </c>
    </row>
    <row r="25" spans="1:6" x14ac:dyDescent="0.2">
      <c r="A25" t="s">
        <v>166</v>
      </c>
      <c r="B25" s="5">
        <v>6.5000000000000002E-2</v>
      </c>
      <c r="C25" s="1">
        <v>5</v>
      </c>
      <c r="D25" s="1">
        <v>1</v>
      </c>
      <c r="E25" s="5">
        <v>0</v>
      </c>
      <c r="F25" s="1">
        <v>0</v>
      </c>
    </row>
    <row r="26" spans="1:6" x14ac:dyDescent="0.2">
      <c r="A26" t="s">
        <v>167</v>
      </c>
      <c r="B26" s="5">
        <v>6.5000000000000002E-2</v>
      </c>
      <c r="C26" s="1">
        <v>5</v>
      </c>
      <c r="D26" s="1">
        <v>1</v>
      </c>
      <c r="E26" s="5">
        <v>1.4999999999999999E-2</v>
      </c>
      <c r="F26" s="1">
        <v>200</v>
      </c>
    </row>
    <row r="27" spans="1:6" x14ac:dyDescent="0.2">
      <c r="A27" t="s">
        <v>168</v>
      </c>
      <c r="B27" s="5">
        <v>6.5000000000000002E-2</v>
      </c>
      <c r="C27" s="1">
        <v>5</v>
      </c>
      <c r="D27" s="1">
        <v>1</v>
      </c>
      <c r="E27" s="5">
        <v>0</v>
      </c>
      <c r="F27" s="1">
        <v>0</v>
      </c>
    </row>
    <row r="28" spans="1:6" x14ac:dyDescent="0.2">
      <c r="A28" t="s">
        <v>169</v>
      </c>
      <c r="B28" s="5">
        <v>6.5000000000000002E-2</v>
      </c>
      <c r="C28" s="1">
        <v>5</v>
      </c>
      <c r="D28" s="1">
        <v>1</v>
      </c>
      <c r="E28" s="5">
        <v>1.4999999999999999E-2</v>
      </c>
      <c r="F28" s="1">
        <v>200</v>
      </c>
    </row>
    <row r="29" spans="1:6" x14ac:dyDescent="0.2">
      <c r="A29" t="s">
        <v>170</v>
      </c>
      <c r="B29" s="5">
        <v>6.5000000000000002E-2</v>
      </c>
      <c r="C29" s="1">
        <v>5</v>
      </c>
      <c r="D29" s="1">
        <v>1</v>
      </c>
      <c r="E29" s="5">
        <v>1.4999999999999999E-2</v>
      </c>
      <c r="F29" s="1">
        <v>200</v>
      </c>
    </row>
    <row r="30" spans="1:6" x14ac:dyDescent="0.2">
      <c r="A30" t="s">
        <v>171</v>
      </c>
      <c r="B30" s="5">
        <v>6.5000000000000002E-2</v>
      </c>
      <c r="C30" s="1">
        <v>5</v>
      </c>
      <c r="D30" s="1">
        <v>1</v>
      </c>
      <c r="E30" s="5">
        <v>0</v>
      </c>
      <c r="F30" s="1">
        <v>0</v>
      </c>
    </row>
    <row r="31" spans="1:6" x14ac:dyDescent="0.2">
      <c r="A31" t="s">
        <v>172</v>
      </c>
      <c r="B31" s="5">
        <v>6.5000000000000002E-2</v>
      </c>
      <c r="C31" s="1">
        <v>5</v>
      </c>
      <c r="D31" s="1">
        <v>1</v>
      </c>
      <c r="E31" s="5">
        <v>1.4999999999999999E-2</v>
      </c>
      <c r="F31" s="1">
        <v>200</v>
      </c>
    </row>
    <row r="32" spans="1:6" x14ac:dyDescent="0.2">
      <c r="A32" t="s">
        <v>173</v>
      </c>
      <c r="B32" s="5">
        <v>6.5000000000000002E-2</v>
      </c>
      <c r="C32" s="1">
        <v>5</v>
      </c>
      <c r="D32" s="1">
        <v>1</v>
      </c>
      <c r="E32" s="5">
        <v>1.4999999999999999E-2</v>
      </c>
      <c r="F32" s="1">
        <v>200</v>
      </c>
    </row>
    <row r="33" spans="1:6" x14ac:dyDescent="0.2">
      <c r="A33" t="s">
        <v>174</v>
      </c>
      <c r="B33" s="5">
        <v>6.5000000000000002E-2</v>
      </c>
      <c r="C33" s="1">
        <v>5</v>
      </c>
      <c r="D33" s="1">
        <v>1</v>
      </c>
      <c r="E33" s="5">
        <v>0</v>
      </c>
      <c r="F33" s="1">
        <v>0</v>
      </c>
    </row>
    <row r="34" spans="1:6" x14ac:dyDescent="0.2">
      <c r="A34" t="s">
        <v>175</v>
      </c>
      <c r="B34" s="5">
        <v>6.5000000000000002E-2</v>
      </c>
      <c r="C34" s="1">
        <v>5</v>
      </c>
      <c r="D34" s="1">
        <v>1</v>
      </c>
      <c r="E34" s="5">
        <v>1.4999999999999999E-2</v>
      </c>
      <c r="F34" s="1">
        <v>200</v>
      </c>
    </row>
    <row r="35" spans="1:6" x14ac:dyDescent="0.2">
      <c r="A35" t="s">
        <v>176</v>
      </c>
      <c r="B35" s="5">
        <v>6.5000000000000002E-2</v>
      </c>
      <c r="C35" s="1">
        <v>5</v>
      </c>
      <c r="D35" s="1">
        <v>1</v>
      </c>
      <c r="E35" s="5">
        <v>0</v>
      </c>
      <c r="F35" s="1">
        <v>0</v>
      </c>
    </row>
    <row r="36" spans="1:6" x14ac:dyDescent="0.2">
      <c r="A36" t="s">
        <v>177</v>
      </c>
      <c r="B36" s="5">
        <v>6.5000000000000002E-2</v>
      </c>
      <c r="C36" s="1">
        <v>5</v>
      </c>
      <c r="D36" s="1">
        <v>1</v>
      </c>
      <c r="E36" s="5">
        <v>1.4999999999999999E-2</v>
      </c>
      <c r="F36" s="1">
        <v>200</v>
      </c>
    </row>
    <row r="37" spans="1:6" x14ac:dyDescent="0.2">
      <c r="A37" t="s">
        <v>178</v>
      </c>
      <c r="B37" s="5">
        <v>6.5000000000000002E-2</v>
      </c>
      <c r="C37" s="1">
        <v>5</v>
      </c>
      <c r="D37" s="1">
        <v>1</v>
      </c>
      <c r="E37" s="5">
        <v>1.4999999999999999E-2</v>
      </c>
      <c r="F37" s="1">
        <v>200</v>
      </c>
    </row>
    <row r="38" spans="1:6" x14ac:dyDescent="0.2">
      <c r="A38" t="s">
        <v>179</v>
      </c>
      <c r="B38" s="5">
        <v>6.5000000000000002E-2</v>
      </c>
      <c r="C38" s="1">
        <v>5</v>
      </c>
      <c r="D38" s="1">
        <v>1</v>
      </c>
      <c r="E38" s="5">
        <v>0</v>
      </c>
      <c r="F38" s="1"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85FE-25DD-D242-BA1B-0D2FD91FC603}">
  <dimension ref="A1:F39"/>
  <sheetViews>
    <sheetView workbookViewId="0">
      <selection activeCell="E3" sqref="E3"/>
    </sheetView>
  </sheetViews>
  <sheetFormatPr baseColWidth="10" defaultRowHeight="15" x14ac:dyDescent="0.2"/>
  <sheetData>
    <row r="1" spans="1:6" x14ac:dyDescent="0.2">
      <c r="A1" s="13" t="s">
        <v>180</v>
      </c>
      <c r="B1" s="14" t="s">
        <v>181</v>
      </c>
      <c r="C1" s="15" t="s">
        <v>182</v>
      </c>
    </row>
    <row r="2" spans="1:6" x14ac:dyDescent="0.2">
      <c r="A2" s="16">
        <v>1</v>
      </c>
      <c r="B2" s="16">
        <v>0</v>
      </c>
      <c r="C2" s="19">
        <f>F2+$E$2</f>
        <v>0</v>
      </c>
      <c r="E2">
        <v>2</v>
      </c>
      <c r="F2" s="16">
        <f>-2</f>
        <v>-2</v>
      </c>
    </row>
    <row r="3" spans="1:6" x14ac:dyDescent="0.2">
      <c r="A3" s="16">
        <v>2</v>
      </c>
      <c r="B3" s="17">
        <v>5</v>
      </c>
      <c r="C3" s="19">
        <f>F3+$E$2</f>
        <v>0</v>
      </c>
      <c r="F3" s="16">
        <v>-2</v>
      </c>
    </row>
    <row r="4" spans="1:6" x14ac:dyDescent="0.2">
      <c r="A4" s="16">
        <v>3</v>
      </c>
      <c r="B4" s="17">
        <v>0</v>
      </c>
      <c r="C4" s="19">
        <f>F4+$E$2</f>
        <v>-2</v>
      </c>
      <c r="F4" s="16">
        <v>-4</v>
      </c>
    </row>
    <row r="5" spans="1:6" x14ac:dyDescent="0.2">
      <c r="A5" s="16">
        <v>4</v>
      </c>
      <c r="B5">
        <v>5</v>
      </c>
      <c r="C5" s="19">
        <f>F5+$E$2</f>
        <v>-2</v>
      </c>
      <c r="F5" s="18">
        <v>-4</v>
      </c>
    </row>
    <row r="6" spans="1:6" x14ac:dyDescent="0.2">
      <c r="A6" s="16">
        <v>5</v>
      </c>
      <c r="B6">
        <v>0</v>
      </c>
      <c r="C6" s="19">
        <f>F6+$E$2</f>
        <v>-4</v>
      </c>
      <c r="F6" s="18">
        <v>-6</v>
      </c>
    </row>
    <row r="7" spans="1:6" x14ac:dyDescent="0.2">
      <c r="A7" s="16">
        <v>6</v>
      </c>
      <c r="B7">
        <v>5</v>
      </c>
      <c r="C7" s="19">
        <f>F7+$E$2</f>
        <v>-4</v>
      </c>
      <c r="F7" s="18">
        <v>-6</v>
      </c>
    </row>
    <row r="8" spans="1:6" x14ac:dyDescent="0.2">
      <c r="A8" s="16">
        <v>7</v>
      </c>
      <c r="B8">
        <v>0</v>
      </c>
      <c r="C8" s="19">
        <f>F8+$E$2</f>
        <v>-6</v>
      </c>
      <c r="F8" s="18">
        <v>-8</v>
      </c>
    </row>
    <row r="9" spans="1:6" x14ac:dyDescent="0.2">
      <c r="A9" s="16">
        <v>8</v>
      </c>
      <c r="B9">
        <v>10</v>
      </c>
      <c r="C9" s="19">
        <f>F9+$E$2</f>
        <v>0</v>
      </c>
      <c r="F9" s="18">
        <v>-2</v>
      </c>
    </row>
    <row r="10" spans="1:6" x14ac:dyDescent="0.2">
      <c r="A10" s="16">
        <v>9</v>
      </c>
      <c r="B10">
        <v>10</v>
      </c>
      <c r="C10" s="19">
        <f>F10+$E$2</f>
        <v>-2</v>
      </c>
      <c r="F10" s="18">
        <v>-4</v>
      </c>
    </row>
    <row r="11" spans="1:6" x14ac:dyDescent="0.2">
      <c r="A11" s="16">
        <v>10</v>
      </c>
      <c r="B11">
        <v>15</v>
      </c>
      <c r="C11" s="19">
        <f>F11+$E$2</f>
        <v>0</v>
      </c>
      <c r="F11" s="18">
        <v>-2</v>
      </c>
    </row>
    <row r="12" spans="1:6" x14ac:dyDescent="0.2">
      <c r="A12" s="16">
        <v>11</v>
      </c>
      <c r="B12">
        <v>15</v>
      </c>
      <c r="C12" s="19">
        <f>F12+$E$2</f>
        <v>-2</v>
      </c>
      <c r="F12" s="18">
        <v>-4</v>
      </c>
    </row>
    <row r="13" spans="1:6" x14ac:dyDescent="0.2">
      <c r="A13" s="16">
        <v>12</v>
      </c>
      <c r="B13">
        <v>20</v>
      </c>
      <c r="C13" s="19">
        <f>F13+$E$2</f>
        <v>-2</v>
      </c>
      <c r="F13" s="18">
        <v>-4</v>
      </c>
    </row>
    <row r="14" spans="1:6" x14ac:dyDescent="0.2">
      <c r="A14" s="16">
        <v>13</v>
      </c>
      <c r="B14">
        <v>15</v>
      </c>
      <c r="C14" s="19">
        <f>F14+$E$2</f>
        <v>-4</v>
      </c>
      <c r="F14" s="18">
        <v>-6</v>
      </c>
    </row>
    <row r="15" spans="1:6" x14ac:dyDescent="0.2">
      <c r="A15" s="16">
        <v>14</v>
      </c>
      <c r="B15">
        <v>20</v>
      </c>
      <c r="C15" s="19">
        <f>F15+$E$2</f>
        <v>-4</v>
      </c>
      <c r="F15" s="18">
        <v>-6</v>
      </c>
    </row>
    <row r="16" spans="1:6" x14ac:dyDescent="0.2">
      <c r="A16" s="16">
        <v>15</v>
      </c>
      <c r="B16">
        <v>15</v>
      </c>
      <c r="C16" s="19">
        <f>F16+$E$2</f>
        <v>-6</v>
      </c>
      <c r="F16" s="18">
        <v>-8</v>
      </c>
    </row>
    <row r="17" spans="1:6" x14ac:dyDescent="0.2">
      <c r="A17" s="16">
        <v>16</v>
      </c>
      <c r="B17">
        <v>25</v>
      </c>
      <c r="C17" s="19">
        <f>F17+$E$2</f>
        <v>0</v>
      </c>
      <c r="F17" s="18">
        <v>-2</v>
      </c>
    </row>
    <row r="18" spans="1:6" x14ac:dyDescent="0.2">
      <c r="A18" s="16">
        <v>17</v>
      </c>
      <c r="B18">
        <v>30</v>
      </c>
      <c r="C18" s="19">
        <f>F18+$E$2</f>
        <v>0</v>
      </c>
      <c r="F18" s="18">
        <v>-2</v>
      </c>
    </row>
    <row r="19" spans="1:6" x14ac:dyDescent="0.2">
      <c r="A19" s="16">
        <v>18</v>
      </c>
      <c r="B19">
        <v>25</v>
      </c>
      <c r="C19" s="19">
        <f>F19+$E$2</f>
        <v>-2</v>
      </c>
      <c r="F19" s="18">
        <v>-4</v>
      </c>
    </row>
    <row r="20" spans="1:6" x14ac:dyDescent="0.2">
      <c r="A20" s="16">
        <v>19</v>
      </c>
      <c r="B20">
        <v>30</v>
      </c>
      <c r="C20" s="19">
        <f>F20+$E$2</f>
        <v>-2</v>
      </c>
      <c r="F20" s="18">
        <v>-4</v>
      </c>
    </row>
    <row r="21" spans="1:6" x14ac:dyDescent="0.2">
      <c r="A21" s="16">
        <v>20</v>
      </c>
      <c r="B21">
        <v>25</v>
      </c>
      <c r="C21" s="19">
        <f>F21+$E$2</f>
        <v>-4</v>
      </c>
      <c r="F21" s="18">
        <v>-6</v>
      </c>
    </row>
    <row r="22" spans="1:6" x14ac:dyDescent="0.2">
      <c r="A22" s="16">
        <v>21</v>
      </c>
      <c r="B22">
        <v>25</v>
      </c>
      <c r="C22" s="19">
        <f>F22+$E$2</f>
        <v>-6</v>
      </c>
      <c r="F22" s="18">
        <v>-8</v>
      </c>
    </row>
    <row r="23" spans="1:6" x14ac:dyDescent="0.2">
      <c r="A23" s="16">
        <v>22</v>
      </c>
      <c r="B23">
        <v>30</v>
      </c>
      <c r="C23" s="19">
        <f>F23+$E$2</f>
        <v>-6</v>
      </c>
      <c r="F23" s="18">
        <v>-8</v>
      </c>
    </row>
    <row r="24" spans="1:6" x14ac:dyDescent="0.2">
      <c r="A24" s="16">
        <v>23</v>
      </c>
      <c r="B24">
        <v>15</v>
      </c>
      <c r="C24" s="19">
        <f>F24+$E$2</f>
        <v>4</v>
      </c>
      <c r="F24" s="18">
        <v>2</v>
      </c>
    </row>
    <row r="25" spans="1:6" x14ac:dyDescent="0.2">
      <c r="A25" s="16">
        <v>24</v>
      </c>
      <c r="B25">
        <v>15</v>
      </c>
      <c r="C25" s="19">
        <f>F25+$E$2</f>
        <v>2</v>
      </c>
      <c r="F25" s="18">
        <v>0</v>
      </c>
    </row>
    <row r="26" spans="1:6" x14ac:dyDescent="0.2">
      <c r="A26" s="16">
        <v>25</v>
      </c>
      <c r="B26">
        <v>2.5</v>
      </c>
      <c r="C26" s="19">
        <f>F26+$E$2</f>
        <v>0</v>
      </c>
      <c r="F26" s="18">
        <v>-2</v>
      </c>
    </row>
    <row r="27" spans="1:6" x14ac:dyDescent="0.2">
      <c r="A27" s="16">
        <v>26</v>
      </c>
      <c r="B27">
        <v>2.5</v>
      </c>
      <c r="C27" s="19">
        <f>F27+$E$2</f>
        <v>-2</v>
      </c>
      <c r="F27" s="18">
        <v>-4</v>
      </c>
    </row>
    <row r="28" spans="1:6" x14ac:dyDescent="0.2">
      <c r="A28" s="16">
        <v>27</v>
      </c>
      <c r="B28">
        <v>2.5</v>
      </c>
      <c r="C28" s="19">
        <f>F28+$E$2</f>
        <v>-4</v>
      </c>
      <c r="F28" s="18">
        <v>-6</v>
      </c>
    </row>
    <row r="29" spans="1:6" x14ac:dyDescent="0.2">
      <c r="A29" s="16">
        <v>28</v>
      </c>
      <c r="B29">
        <v>2.5</v>
      </c>
      <c r="C29" s="19">
        <f>F29+$E$2</f>
        <v>-6</v>
      </c>
      <c r="F29" s="18">
        <v>-8</v>
      </c>
    </row>
    <row r="30" spans="1:6" x14ac:dyDescent="0.2">
      <c r="A30" s="16">
        <v>29</v>
      </c>
      <c r="B30">
        <v>12.5</v>
      </c>
      <c r="C30" s="19">
        <f>F30+$E$2</f>
        <v>0</v>
      </c>
      <c r="F30" s="18">
        <v>-2</v>
      </c>
    </row>
    <row r="31" spans="1:6" x14ac:dyDescent="0.2">
      <c r="A31" s="16">
        <v>30</v>
      </c>
      <c r="B31">
        <v>12.5</v>
      </c>
      <c r="C31" s="19">
        <f>F31+$E$2</f>
        <v>-2</v>
      </c>
      <c r="F31" s="18">
        <v>-4</v>
      </c>
    </row>
    <row r="32" spans="1:6" x14ac:dyDescent="0.2">
      <c r="A32" s="16">
        <v>31</v>
      </c>
      <c r="B32">
        <v>17.5</v>
      </c>
      <c r="C32" s="19">
        <f>F32+$E$2</f>
        <v>0</v>
      </c>
      <c r="F32" s="18">
        <v>-2</v>
      </c>
    </row>
    <row r="33" spans="1:6" x14ac:dyDescent="0.2">
      <c r="A33" s="16">
        <v>32</v>
      </c>
      <c r="B33">
        <v>17.5</v>
      </c>
      <c r="C33" s="19">
        <f>F33+$E$2</f>
        <v>-2</v>
      </c>
      <c r="F33" s="18">
        <v>-4</v>
      </c>
    </row>
    <row r="34" spans="1:6" x14ac:dyDescent="0.2">
      <c r="A34" s="16">
        <v>33</v>
      </c>
      <c r="B34">
        <v>17.5</v>
      </c>
      <c r="C34" s="19">
        <f>F34+$E$2</f>
        <v>-4</v>
      </c>
      <c r="F34" s="18">
        <v>-6</v>
      </c>
    </row>
    <row r="35" spans="1:6" x14ac:dyDescent="0.2">
      <c r="A35" s="16">
        <v>34</v>
      </c>
      <c r="B35">
        <v>17.5</v>
      </c>
      <c r="C35" s="19">
        <f>F35+$E$2</f>
        <v>-6</v>
      </c>
      <c r="F35" s="18">
        <v>-8</v>
      </c>
    </row>
    <row r="36" spans="1:6" x14ac:dyDescent="0.2">
      <c r="A36" s="16">
        <v>35</v>
      </c>
      <c r="B36">
        <v>27.5</v>
      </c>
      <c r="C36" s="19">
        <f>F36+$E$2</f>
        <v>0</v>
      </c>
      <c r="F36" s="18">
        <v>-2</v>
      </c>
    </row>
    <row r="37" spans="1:6" x14ac:dyDescent="0.2">
      <c r="A37" s="16">
        <v>36</v>
      </c>
      <c r="B37">
        <v>27.5</v>
      </c>
      <c r="C37" s="19">
        <f>F37+$E$2</f>
        <v>-2</v>
      </c>
      <c r="F37" s="18">
        <v>-4</v>
      </c>
    </row>
    <row r="38" spans="1:6" x14ac:dyDescent="0.2">
      <c r="A38" s="16">
        <v>37</v>
      </c>
      <c r="B38">
        <v>27.5</v>
      </c>
      <c r="C38" s="19">
        <f>F38+$E$2</f>
        <v>-4</v>
      </c>
      <c r="F38" s="18">
        <v>-6</v>
      </c>
    </row>
    <row r="39" spans="1:6" x14ac:dyDescent="0.2">
      <c r="A39" s="16">
        <v>38</v>
      </c>
      <c r="B39">
        <v>27.5</v>
      </c>
      <c r="C39" s="19">
        <f>F39+$E$2</f>
        <v>-6</v>
      </c>
      <c r="F39" s="18">
        <v>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2" bestFit="1" customWidth="1"/>
    <col min="2" max="2" width="44.5" style="4" bestFit="1" customWidth="1"/>
  </cols>
  <sheetData>
    <row r="1" spans="1:2" ht="17.25" customHeight="1" x14ac:dyDescent="0.2">
      <c r="A1" s="1" t="s">
        <v>9</v>
      </c>
      <c r="B1" s="3" t="s">
        <v>8</v>
      </c>
    </row>
    <row r="2" spans="1:2" ht="17.25" customHeight="1" x14ac:dyDescent="0.2">
      <c r="A2" s="1">
        <v>1</v>
      </c>
      <c r="B2" s="3">
        <v>86.2</v>
      </c>
    </row>
    <row r="3" spans="1:2" ht="17.25" customHeight="1" x14ac:dyDescent="0.2">
      <c r="A3" s="1">
        <v>2</v>
      </c>
      <c r="B3" s="1">
        <v>90</v>
      </c>
    </row>
    <row r="4" spans="1:2" ht="17.25" customHeight="1" x14ac:dyDescent="0.2">
      <c r="A4" s="1">
        <v>3</v>
      </c>
      <c r="B4" s="3">
        <v>87.8</v>
      </c>
    </row>
    <row r="5" spans="1:2" ht="17.25" customHeight="1" x14ac:dyDescent="0.2">
      <c r="A5" s="1">
        <v>4</v>
      </c>
      <c r="B5" s="3">
        <v>83.4</v>
      </c>
    </row>
    <row r="6" spans="1:2" ht="17.25" customHeight="1" x14ac:dyDescent="0.2">
      <c r="A6" s="1">
        <v>5</v>
      </c>
      <c r="B6" s="1">
        <v>88</v>
      </c>
    </row>
    <row r="7" spans="1:2" ht="17.25" customHeight="1" x14ac:dyDescent="0.2">
      <c r="A7" s="1">
        <v>6</v>
      </c>
      <c r="B7" s="3">
        <v>84.1</v>
      </c>
    </row>
    <row r="8" spans="1:2" ht="17.25" customHeight="1" x14ac:dyDescent="0.2">
      <c r="A8" s="1">
        <v>7</v>
      </c>
      <c r="B8" s="3">
        <v>83.2</v>
      </c>
    </row>
    <row r="9" spans="1:2" ht="17.25" customHeight="1" x14ac:dyDescent="0.2">
      <c r="A9" s="1">
        <v>8</v>
      </c>
      <c r="B9" s="3">
        <v>80.599999999999994</v>
      </c>
    </row>
    <row r="10" spans="1:2" ht="17.25" customHeight="1" x14ac:dyDescent="0.2">
      <c r="A10" s="1">
        <v>9</v>
      </c>
      <c r="B10" s="1">
        <v>74</v>
      </c>
    </row>
    <row r="11" spans="1:2" ht="17.25" customHeight="1" x14ac:dyDescent="0.2">
      <c r="A11" s="1">
        <v>10</v>
      </c>
      <c r="B11" s="3">
        <v>73.7</v>
      </c>
    </row>
    <row r="12" spans="1:2" ht="17.25" customHeight="1" x14ac:dyDescent="0.2">
      <c r="A12" s="1">
        <v>11</v>
      </c>
      <c r="B12" s="3">
        <v>71.5</v>
      </c>
    </row>
    <row r="13" spans="1:2" ht="17.25" customHeight="1" x14ac:dyDescent="0.2">
      <c r="A13" s="1">
        <v>12</v>
      </c>
      <c r="B13" s="3">
        <v>72.7</v>
      </c>
    </row>
    <row r="14" spans="1:2" ht="17.25" customHeight="1" x14ac:dyDescent="0.2">
      <c r="A14" s="1">
        <v>13</v>
      </c>
      <c r="B14" s="3">
        <v>70.400000000000006</v>
      </c>
    </row>
    <row r="15" spans="1:2" ht="17.25" customHeight="1" x14ac:dyDescent="0.2">
      <c r="A15" s="1">
        <v>14</v>
      </c>
      <c r="B15" s="1">
        <v>75</v>
      </c>
    </row>
    <row r="16" spans="1:2" ht="17.25" customHeight="1" x14ac:dyDescent="0.2">
      <c r="A16" s="1">
        <v>15</v>
      </c>
      <c r="B16" s="3">
        <v>72.099999999999994</v>
      </c>
    </row>
    <row r="17" spans="1:2" ht="17.25" customHeight="1" x14ac:dyDescent="0.2">
      <c r="A17" s="1">
        <v>16</v>
      </c>
      <c r="B17" s="1">
        <v>80</v>
      </c>
    </row>
    <row r="18" spans="1:2" ht="17.25" customHeight="1" x14ac:dyDescent="0.2">
      <c r="A18" s="1">
        <v>17</v>
      </c>
      <c r="B18" s="3">
        <v>75.400000000000006</v>
      </c>
    </row>
    <row r="19" spans="1:2" ht="17.25" customHeight="1" x14ac:dyDescent="0.2">
      <c r="A19" s="1">
        <v>18</v>
      </c>
      <c r="B19" s="3">
        <v>83.7</v>
      </c>
    </row>
    <row r="20" spans="1:2" ht="17.25" customHeight="1" x14ac:dyDescent="0.2">
      <c r="A20" s="1">
        <v>19</v>
      </c>
      <c r="B20" s="1">
        <v>87</v>
      </c>
    </row>
    <row r="21" spans="1:2" ht="17.25" customHeight="1" x14ac:dyDescent="0.2">
      <c r="A21" s="1">
        <v>20</v>
      </c>
      <c r="B21" s="1">
        <v>88</v>
      </c>
    </row>
    <row r="22" spans="1:2" ht="17.25" customHeight="1" x14ac:dyDescent="0.2">
      <c r="A22" s="1">
        <v>21</v>
      </c>
      <c r="B22" s="3">
        <v>85.6</v>
      </c>
    </row>
    <row r="23" spans="1:2" ht="17.25" customHeight="1" x14ac:dyDescent="0.2">
      <c r="A23" s="1">
        <v>22</v>
      </c>
      <c r="B23" s="3">
        <v>81.099999999999994</v>
      </c>
    </row>
    <row r="24" spans="1:2" ht="17.25" customHeight="1" x14ac:dyDescent="0.2">
      <c r="A24" s="1">
        <v>23</v>
      </c>
      <c r="B24" s="1">
        <v>90</v>
      </c>
    </row>
    <row r="25" spans="1:2" ht="17.25" customHeight="1" x14ac:dyDescent="0.2">
      <c r="A25" s="1">
        <v>24</v>
      </c>
      <c r="B25" s="3">
        <v>88.7</v>
      </c>
    </row>
    <row r="26" spans="1:2" ht="17.25" customHeight="1" x14ac:dyDescent="0.2">
      <c r="A26" s="1">
        <v>25</v>
      </c>
      <c r="B26" s="3">
        <v>89.6</v>
      </c>
    </row>
    <row r="27" spans="1:2" ht="17.25" customHeight="1" x14ac:dyDescent="0.2">
      <c r="A27" s="1">
        <v>26</v>
      </c>
      <c r="B27" s="3">
        <v>86.1</v>
      </c>
    </row>
    <row r="28" spans="1:2" ht="17.25" customHeight="1" x14ac:dyDescent="0.2">
      <c r="A28" s="1">
        <v>27</v>
      </c>
      <c r="B28" s="3">
        <v>75.5</v>
      </c>
    </row>
    <row r="29" spans="1:2" ht="17.25" customHeight="1" x14ac:dyDescent="0.2">
      <c r="A29" s="1">
        <v>28</v>
      </c>
      <c r="B29" s="3">
        <v>81.599999999999994</v>
      </c>
    </row>
    <row r="30" spans="1:2" ht="17.25" customHeight="1" x14ac:dyDescent="0.2">
      <c r="A30" s="1">
        <v>29</v>
      </c>
      <c r="B30" s="3">
        <v>80.099999999999994</v>
      </c>
    </row>
    <row r="31" spans="1:2" ht="17.25" customHeight="1" x14ac:dyDescent="0.2">
      <c r="A31" s="1">
        <v>30</v>
      </c>
      <c r="B31" s="1">
        <v>88</v>
      </c>
    </row>
    <row r="32" spans="1:2" ht="17.25" customHeight="1" x14ac:dyDescent="0.2">
      <c r="A32" s="1">
        <v>31</v>
      </c>
      <c r="B32" s="3">
        <v>72.2</v>
      </c>
    </row>
    <row r="33" spans="1:2" ht="17.25" customHeight="1" x14ac:dyDescent="0.2">
      <c r="A33" s="1">
        <v>32</v>
      </c>
      <c r="B33" s="3">
        <v>77.599999999999994</v>
      </c>
    </row>
    <row r="34" spans="1:2" ht="17.25" customHeight="1" x14ac:dyDescent="0.2">
      <c r="A34" s="1">
        <v>33</v>
      </c>
      <c r="B34" s="1">
        <v>80</v>
      </c>
    </row>
    <row r="35" spans="1:2" ht="17.25" customHeight="1" x14ac:dyDescent="0.2">
      <c r="A35" s="1">
        <v>34</v>
      </c>
      <c r="B35" s="3">
        <v>72.900000000000006</v>
      </c>
    </row>
    <row r="36" spans="1:2" ht="17.25" customHeight="1" x14ac:dyDescent="0.2">
      <c r="A36" s="1">
        <v>35</v>
      </c>
      <c r="B36" s="3">
        <v>72.599999999999994</v>
      </c>
    </row>
    <row r="37" spans="1:2" ht="17.25" customHeight="1" x14ac:dyDescent="0.2">
      <c r="A37" s="1">
        <v>36</v>
      </c>
      <c r="B37" s="3">
        <v>70.5</v>
      </c>
    </row>
    <row r="38" spans="1:2" ht="17.25" customHeight="1" x14ac:dyDescent="0.2">
      <c r="A38" s="1">
        <v>37</v>
      </c>
      <c r="B38" s="1">
        <v>78</v>
      </c>
    </row>
    <row r="39" spans="1:2" ht="17.25" customHeight="1" x14ac:dyDescent="0.2">
      <c r="A39" s="1">
        <v>38</v>
      </c>
      <c r="B39" s="3">
        <v>69.5</v>
      </c>
    </row>
    <row r="40" spans="1:2" ht="17.25" customHeight="1" x14ac:dyDescent="0.2">
      <c r="A40" s="1">
        <v>39</v>
      </c>
      <c r="B40" s="3">
        <v>72.400000000000006</v>
      </c>
    </row>
    <row r="41" spans="1:2" ht="17.25" customHeight="1" x14ac:dyDescent="0.2">
      <c r="A41" s="1">
        <v>40</v>
      </c>
      <c r="B41" s="3">
        <v>72.400000000000006</v>
      </c>
    </row>
    <row r="42" spans="1:2" ht="17.25" customHeight="1" x14ac:dyDescent="0.2">
      <c r="A42" s="1">
        <v>41</v>
      </c>
      <c r="B42" s="3">
        <v>74.3</v>
      </c>
    </row>
    <row r="43" spans="1:2" ht="17.25" customHeight="1" x14ac:dyDescent="0.2">
      <c r="A43" s="1">
        <v>42</v>
      </c>
      <c r="B43" s="3">
        <v>74.400000000000006</v>
      </c>
    </row>
    <row r="44" spans="1:2" ht="17.25" customHeight="1" x14ac:dyDescent="0.2">
      <c r="A44" s="1">
        <v>43</v>
      </c>
      <c r="B44" s="1">
        <v>80</v>
      </c>
    </row>
    <row r="45" spans="1:2" ht="17.25" customHeight="1" x14ac:dyDescent="0.2">
      <c r="A45" s="1">
        <v>44</v>
      </c>
      <c r="B45" s="3">
        <v>88.1</v>
      </c>
    </row>
    <row r="46" spans="1:2" ht="17.25" customHeight="1" x14ac:dyDescent="0.2">
      <c r="A46" s="1">
        <v>45</v>
      </c>
      <c r="B46" s="3">
        <v>88.5</v>
      </c>
    </row>
    <row r="47" spans="1:2" ht="17.25" customHeight="1" x14ac:dyDescent="0.2">
      <c r="A47" s="1">
        <v>46</v>
      </c>
      <c r="B47" s="3">
        <v>90.9</v>
      </c>
    </row>
    <row r="48" spans="1:2" ht="17.25" customHeight="1" x14ac:dyDescent="0.2">
      <c r="A48" s="1">
        <v>47</v>
      </c>
      <c r="B48" s="1">
        <v>94</v>
      </c>
    </row>
    <row r="49" spans="1:2" ht="17.25" customHeight="1" x14ac:dyDescent="0.2">
      <c r="A49" s="1">
        <v>48</v>
      </c>
      <c r="B49" s="1">
        <v>89</v>
      </c>
    </row>
    <row r="50" spans="1:2" ht="17.25" customHeight="1" x14ac:dyDescent="0.2">
      <c r="A50" s="1">
        <v>49</v>
      </c>
      <c r="B50" s="3">
        <v>94.2</v>
      </c>
    </row>
    <row r="51" spans="1:2" ht="17.25" customHeight="1" x14ac:dyDescent="0.2">
      <c r="A51" s="1">
        <v>50</v>
      </c>
      <c r="B51" s="1">
        <v>97</v>
      </c>
    </row>
    <row r="52" spans="1:2" ht="17.25" customHeight="1" x14ac:dyDescent="0.2">
      <c r="A52" s="1">
        <v>51</v>
      </c>
      <c r="B52" s="1">
        <v>100</v>
      </c>
    </row>
    <row r="53" spans="1:2" ht="17.25" customHeight="1" x14ac:dyDescent="0.2">
      <c r="A53" s="1">
        <v>52</v>
      </c>
      <c r="B53" s="3">
        <v>95.2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2" bestFit="1" customWidth="1"/>
  </cols>
  <sheetData>
    <row r="1" spans="1:2" ht="17.25" customHeight="1" x14ac:dyDescent="0.2">
      <c r="A1" s="1" t="s">
        <v>7</v>
      </c>
      <c r="B1" s="1" t="s">
        <v>8</v>
      </c>
    </row>
    <row r="2" spans="1:2" ht="17.25" customHeight="1" x14ac:dyDescent="0.2">
      <c r="A2" s="1">
        <v>1</v>
      </c>
      <c r="B2" s="1">
        <v>93</v>
      </c>
    </row>
    <row r="3" spans="1:2" ht="17.25" customHeight="1" x14ac:dyDescent="0.2">
      <c r="A3" s="1">
        <v>2</v>
      </c>
      <c r="B3" s="1">
        <v>100</v>
      </c>
    </row>
    <row r="4" spans="1:2" ht="17.25" customHeight="1" x14ac:dyDescent="0.2">
      <c r="A4" s="1">
        <v>3</v>
      </c>
      <c r="B4" s="1">
        <v>98</v>
      </c>
    </row>
    <row r="5" spans="1:2" ht="17.25" customHeight="1" x14ac:dyDescent="0.2">
      <c r="A5" s="1">
        <v>4</v>
      </c>
      <c r="B5" s="1">
        <v>96</v>
      </c>
    </row>
    <row r="6" spans="1:2" ht="17.25" customHeight="1" x14ac:dyDescent="0.2">
      <c r="A6" s="1">
        <v>5</v>
      </c>
      <c r="B6" s="1">
        <v>94</v>
      </c>
    </row>
    <row r="7" spans="1:2" ht="17.25" customHeight="1" x14ac:dyDescent="0.2">
      <c r="A7" s="1">
        <v>6</v>
      </c>
      <c r="B7" s="1">
        <v>77</v>
      </c>
    </row>
    <row r="8" spans="1:2" ht="17.25" customHeight="1" x14ac:dyDescent="0.2">
      <c r="A8" s="1">
        <v>7</v>
      </c>
      <c r="B8" s="1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2" bestFit="1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1">
        <v>1</v>
      </c>
      <c r="B2" s="1">
        <v>67</v>
      </c>
      <c r="C2" s="1">
        <v>78</v>
      </c>
      <c r="D2" s="1">
        <v>64</v>
      </c>
      <c r="E2" s="1">
        <v>74</v>
      </c>
      <c r="F2" s="1">
        <v>63</v>
      </c>
      <c r="G2" s="1">
        <v>75</v>
      </c>
    </row>
    <row r="3" spans="1:7" ht="17.25" customHeight="1" x14ac:dyDescent="0.2">
      <c r="A3" s="1">
        <v>2</v>
      </c>
      <c r="B3" s="1">
        <v>63</v>
      </c>
      <c r="C3" s="1">
        <v>72</v>
      </c>
      <c r="D3" s="1">
        <v>60</v>
      </c>
      <c r="E3" s="1">
        <v>70</v>
      </c>
      <c r="F3" s="1">
        <v>62</v>
      </c>
      <c r="G3" s="1">
        <v>73</v>
      </c>
    </row>
    <row r="4" spans="1:7" ht="17.25" customHeight="1" x14ac:dyDescent="0.2">
      <c r="A4" s="1">
        <v>3</v>
      </c>
      <c r="B4" s="1">
        <v>60</v>
      </c>
      <c r="C4" s="1">
        <v>68</v>
      </c>
      <c r="D4" s="1">
        <v>58</v>
      </c>
      <c r="E4" s="1">
        <v>66</v>
      </c>
      <c r="F4" s="1">
        <v>60</v>
      </c>
      <c r="G4" s="1">
        <v>69</v>
      </c>
    </row>
    <row r="5" spans="1:7" ht="17.25" customHeight="1" x14ac:dyDescent="0.2">
      <c r="A5" s="1">
        <v>4</v>
      </c>
      <c r="B5" s="1">
        <v>59</v>
      </c>
      <c r="C5" s="1">
        <v>66</v>
      </c>
      <c r="D5" s="1">
        <v>56</v>
      </c>
      <c r="E5" s="1">
        <v>65</v>
      </c>
      <c r="F5" s="1">
        <v>58</v>
      </c>
      <c r="G5" s="1">
        <v>66</v>
      </c>
    </row>
    <row r="6" spans="1:7" ht="17.25" customHeight="1" x14ac:dyDescent="0.2">
      <c r="A6" s="1">
        <v>5</v>
      </c>
      <c r="B6" s="1">
        <v>59</v>
      </c>
      <c r="C6" s="1">
        <v>64</v>
      </c>
      <c r="D6" s="1">
        <v>56</v>
      </c>
      <c r="E6" s="1">
        <v>64</v>
      </c>
      <c r="F6" s="1">
        <v>59</v>
      </c>
      <c r="G6" s="1">
        <v>65</v>
      </c>
    </row>
    <row r="7" spans="1:7" ht="17.25" customHeight="1" x14ac:dyDescent="0.2">
      <c r="A7" s="1">
        <v>6</v>
      </c>
      <c r="B7" s="1">
        <v>60</v>
      </c>
      <c r="C7" s="1">
        <v>65</v>
      </c>
      <c r="D7" s="1">
        <v>58</v>
      </c>
      <c r="E7" s="1">
        <v>62</v>
      </c>
      <c r="F7" s="1">
        <v>65</v>
      </c>
      <c r="G7" s="1">
        <v>65</v>
      </c>
    </row>
    <row r="8" spans="1:7" ht="17.25" customHeight="1" x14ac:dyDescent="0.2">
      <c r="A8" s="1">
        <v>7</v>
      </c>
      <c r="B8" s="1">
        <v>74</v>
      </c>
      <c r="C8" s="1">
        <v>66</v>
      </c>
      <c r="D8" s="1">
        <v>64</v>
      </c>
      <c r="E8" s="1">
        <v>62</v>
      </c>
      <c r="F8" s="1">
        <v>72</v>
      </c>
      <c r="G8" s="1">
        <v>68</v>
      </c>
    </row>
    <row r="9" spans="1:7" ht="17.25" customHeight="1" x14ac:dyDescent="0.2">
      <c r="A9" s="1">
        <v>8</v>
      </c>
      <c r="B9" s="1">
        <v>86</v>
      </c>
      <c r="C9" s="1">
        <v>70</v>
      </c>
      <c r="D9" s="1">
        <v>76</v>
      </c>
      <c r="E9" s="1">
        <v>66</v>
      </c>
      <c r="F9" s="1">
        <v>85</v>
      </c>
      <c r="G9" s="1">
        <v>74</v>
      </c>
    </row>
    <row r="10" spans="1:7" ht="17.25" customHeight="1" x14ac:dyDescent="0.2">
      <c r="A10" s="1">
        <v>9</v>
      </c>
      <c r="B10" s="1">
        <v>95</v>
      </c>
      <c r="C10" s="1">
        <v>80</v>
      </c>
      <c r="D10" s="1">
        <v>87</v>
      </c>
      <c r="E10" s="1">
        <v>81</v>
      </c>
      <c r="F10" s="1">
        <v>95</v>
      </c>
      <c r="G10" s="1">
        <v>83</v>
      </c>
    </row>
    <row r="11" spans="1:7" ht="17.25" customHeight="1" x14ac:dyDescent="0.2">
      <c r="A11" s="1">
        <v>10</v>
      </c>
      <c r="B11" s="1">
        <v>96</v>
      </c>
      <c r="C11" s="1">
        <v>88</v>
      </c>
      <c r="D11" s="1">
        <v>95</v>
      </c>
      <c r="E11" s="1">
        <v>86</v>
      </c>
      <c r="F11" s="1">
        <v>99</v>
      </c>
      <c r="G11" s="1">
        <v>89</v>
      </c>
    </row>
    <row r="12" spans="1:7" ht="17.25" customHeight="1" x14ac:dyDescent="0.2">
      <c r="A12" s="1">
        <v>11</v>
      </c>
      <c r="B12" s="1">
        <v>96</v>
      </c>
      <c r="C12" s="1">
        <v>90</v>
      </c>
      <c r="D12" s="1">
        <v>99</v>
      </c>
      <c r="E12" s="1">
        <v>91</v>
      </c>
      <c r="F12" s="1">
        <v>100</v>
      </c>
      <c r="G12" s="1">
        <v>92</v>
      </c>
    </row>
    <row r="13" spans="1:7" ht="17.25" customHeight="1" x14ac:dyDescent="0.2">
      <c r="A13" s="1">
        <v>12</v>
      </c>
      <c r="B13" s="1">
        <v>95</v>
      </c>
      <c r="C13" s="1">
        <v>91</v>
      </c>
      <c r="D13" s="1">
        <v>100</v>
      </c>
      <c r="E13" s="1">
        <v>93</v>
      </c>
      <c r="F13" s="1">
        <v>99</v>
      </c>
      <c r="G13" s="1">
        <v>94</v>
      </c>
    </row>
    <row r="14" spans="1:7" ht="17.25" customHeight="1" x14ac:dyDescent="0.2">
      <c r="A14" s="1">
        <v>13</v>
      </c>
      <c r="B14" s="1">
        <v>95</v>
      </c>
      <c r="C14" s="1">
        <v>90</v>
      </c>
      <c r="D14" s="1">
        <v>99</v>
      </c>
      <c r="E14" s="1">
        <v>93</v>
      </c>
      <c r="F14" s="1">
        <v>93</v>
      </c>
      <c r="G14" s="1">
        <v>91</v>
      </c>
    </row>
    <row r="15" spans="1:7" ht="17.25" customHeight="1" x14ac:dyDescent="0.2">
      <c r="A15" s="1">
        <v>14</v>
      </c>
      <c r="B15" s="1">
        <v>95</v>
      </c>
      <c r="C15" s="1">
        <v>88</v>
      </c>
      <c r="D15" s="1">
        <v>100</v>
      </c>
      <c r="E15" s="1">
        <v>92</v>
      </c>
      <c r="F15" s="1">
        <v>92</v>
      </c>
      <c r="G15" s="1">
        <v>90</v>
      </c>
    </row>
    <row r="16" spans="1:7" ht="17.25" customHeight="1" x14ac:dyDescent="0.2">
      <c r="A16" s="1">
        <v>15</v>
      </c>
      <c r="B16" s="1">
        <v>93</v>
      </c>
      <c r="C16" s="1">
        <v>87</v>
      </c>
      <c r="D16" s="1">
        <v>100</v>
      </c>
      <c r="E16" s="1">
        <v>91</v>
      </c>
      <c r="F16" s="1">
        <v>90</v>
      </c>
      <c r="G16" s="1">
        <v>90</v>
      </c>
    </row>
    <row r="17" spans="1:7" ht="17.25" customHeight="1" x14ac:dyDescent="0.2">
      <c r="A17" s="1">
        <v>16</v>
      </c>
      <c r="B17" s="1">
        <v>94</v>
      </c>
      <c r="C17" s="1">
        <v>87</v>
      </c>
      <c r="D17" s="1">
        <v>97</v>
      </c>
      <c r="E17" s="1">
        <v>91</v>
      </c>
      <c r="F17" s="1">
        <v>88</v>
      </c>
      <c r="G17" s="1">
        <v>86</v>
      </c>
    </row>
    <row r="18" spans="1:7" ht="17.25" customHeight="1" x14ac:dyDescent="0.2">
      <c r="A18" s="1">
        <v>17</v>
      </c>
      <c r="B18" s="1">
        <v>99</v>
      </c>
      <c r="C18" s="1">
        <v>91</v>
      </c>
      <c r="D18" s="1">
        <v>96</v>
      </c>
      <c r="E18" s="1">
        <v>92</v>
      </c>
      <c r="F18" s="1">
        <v>90</v>
      </c>
      <c r="G18" s="1">
        <v>85</v>
      </c>
    </row>
    <row r="19" spans="1:7" ht="17.25" customHeight="1" x14ac:dyDescent="0.2">
      <c r="A19" s="1">
        <v>18</v>
      </c>
      <c r="B19" s="1">
        <v>100</v>
      </c>
      <c r="C19" s="1">
        <v>100</v>
      </c>
      <c r="D19" s="1">
        <v>96</v>
      </c>
      <c r="E19" s="1">
        <v>94</v>
      </c>
      <c r="F19" s="1">
        <v>92</v>
      </c>
      <c r="G19" s="1">
        <v>88</v>
      </c>
    </row>
    <row r="20" spans="1:7" ht="17.25" customHeight="1" x14ac:dyDescent="0.2">
      <c r="A20" s="1">
        <v>19</v>
      </c>
      <c r="B20" s="1">
        <v>100</v>
      </c>
      <c r="C20" s="1">
        <v>99</v>
      </c>
      <c r="D20" s="1">
        <v>93</v>
      </c>
      <c r="E20" s="1">
        <v>95</v>
      </c>
      <c r="F20" s="1">
        <v>96</v>
      </c>
      <c r="G20" s="1">
        <v>92</v>
      </c>
    </row>
    <row r="21" spans="1:7" ht="17.25" customHeight="1" x14ac:dyDescent="0.2">
      <c r="A21" s="1">
        <v>20</v>
      </c>
      <c r="B21" s="1">
        <v>96</v>
      </c>
      <c r="C21" s="1">
        <v>97</v>
      </c>
      <c r="D21" s="1">
        <v>92</v>
      </c>
      <c r="E21" s="1">
        <v>95</v>
      </c>
      <c r="F21" s="1">
        <v>98</v>
      </c>
      <c r="G21" s="1">
        <v>100</v>
      </c>
    </row>
    <row r="22" spans="1:7" ht="17.25" customHeight="1" x14ac:dyDescent="0.2">
      <c r="A22" s="1">
        <v>21</v>
      </c>
      <c r="B22" s="1">
        <v>91</v>
      </c>
      <c r="C22" s="1">
        <v>94</v>
      </c>
      <c r="D22" s="1">
        <v>92</v>
      </c>
      <c r="E22" s="1">
        <v>100</v>
      </c>
      <c r="F22" s="1">
        <v>96</v>
      </c>
      <c r="G22" s="1">
        <v>97</v>
      </c>
    </row>
    <row r="23" spans="1:7" ht="17.25" customHeight="1" x14ac:dyDescent="0.2">
      <c r="A23" s="1">
        <v>22</v>
      </c>
      <c r="B23" s="1">
        <v>83</v>
      </c>
      <c r="C23" s="1">
        <v>92</v>
      </c>
      <c r="D23" s="1">
        <v>93</v>
      </c>
      <c r="E23" s="1">
        <v>93</v>
      </c>
      <c r="F23" s="1">
        <v>90</v>
      </c>
      <c r="G23" s="1">
        <v>95</v>
      </c>
    </row>
    <row r="24" spans="1:7" ht="17.25" customHeight="1" x14ac:dyDescent="0.2">
      <c r="A24" s="1">
        <v>23</v>
      </c>
      <c r="B24" s="1">
        <v>73</v>
      </c>
      <c r="C24" s="1">
        <v>87</v>
      </c>
      <c r="D24" s="1">
        <v>87</v>
      </c>
      <c r="E24" s="1">
        <v>88</v>
      </c>
      <c r="F24" s="1">
        <v>80</v>
      </c>
      <c r="G24" s="1">
        <v>90</v>
      </c>
    </row>
    <row r="25" spans="1:7" ht="17.25" customHeight="1" x14ac:dyDescent="0.2">
      <c r="A25" s="1">
        <v>24</v>
      </c>
      <c r="B25" s="1">
        <v>63</v>
      </c>
      <c r="C25" s="1">
        <v>81</v>
      </c>
      <c r="D25" s="1">
        <v>72</v>
      </c>
      <c r="E25" s="1">
        <v>80</v>
      </c>
      <c r="F25" s="1">
        <v>70</v>
      </c>
      <c r="G25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Bus Data</vt:lpstr>
      <vt:lpstr>Line Data</vt:lpstr>
      <vt:lpstr>Buses</vt:lpstr>
      <vt:lpstr>Lines</vt:lpstr>
      <vt:lpstr>Load Point Data</vt:lpstr>
      <vt:lpstr>Generation Data</vt:lpstr>
      <vt:lpstr>Backup Feeders</vt:lpstr>
      <vt:lpstr>Component Data</vt:lpstr>
      <vt:lpstr>Positions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2025-11-06T19:09:10Z</dcterms:created>
  <dcterms:modified xsi:type="dcterms:W3CDTF">2026-03-17T08:06:24Z</dcterms:modified>
</cp:coreProperties>
</file>